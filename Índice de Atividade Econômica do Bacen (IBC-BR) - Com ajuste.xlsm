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nando.teixeira\Dropbox\Luciana+Maclá\"/>
    </mc:Choice>
  </mc:AlternateContent>
  <bookViews>
    <workbookView xWindow="-15" yWindow="105" windowWidth="15480" windowHeight="5265"/>
  </bookViews>
  <sheets>
    <sheet name="Resumo" sheetId="9" r:id="rId1"/>
    <sheet name="Dados" sheetId="1" r:id="rId2"/>
    <sheet name="MM3" sheetId="17" r:id="rId3"/>
    <sheet name="MM6" sheetId="18" r:id="rId4"/>
    <sheet name="MM12" sheetId="19" r:id="rId5"/>
    <sheet name="Plan1" sheetId="20" r:id="rId6"/>
  </sheets>
  <calcPr calcId="152511"/>
</workbook>
</file>

<file path=xl/calcChain.xml><?xml version="1.0" encoding="utf-8"?>
<calcChain xmlns="http://schemas.openxmlformats.org/spreadsheetml/2006/main">
  <c r="A9" i="9" l="1"/>
  <c r="A8" i="9" s="1"/>
  <c r="A7" i="9" s="1"/>
  <c r="A11" i="9" s="1"/>
  <c r="A15" i="9" s="1"/>
  <c r="A19" i="9" s="1"/>
  <c r="A13" i="9" l="1"/>
  <c r="A17" i="9" s="1"/>
  <c r="A21" i="9" s="1"/>
  <c r="A12" i="9"/>
  <c r="A16" i="9" s="1"/>
  <c r="A20" i="9" s="1"/>
  <c r="B21" i="9"/>
  <c r="C21" i="9"/>
  <c r="D21" i="9"/>
  <c r="E21" i="9"/>
  <c r="F21" i="9"/>
  <c r="G21" i="9"/>
  <c r="H21" i="9"/>
  <c r="I21" i="9"/>
  <c r="J21" i="9"/>
  <c r="K21" i="9"/>
  <c r="B17" i="9"/>
  <c r="C17" i="9"/>
  <c r="D17" i="9"/>
  <c r="E17" i="9"/>
  <c r="F17" i="9"/>
  <c r="G17" i="9"/>
  <c r="H17" i="9"/>
  <c r="I17" i="9"/>
  <c r="J17" i="9"/>
  <c r="K17" i="9"/>
  <c r="B13" i="9"/>
  <c r="C13" i="9"/>
  <c r="D13" i="9"/>
  <c r="E13" i="9"/>
  <c r="F13" i="9"/>
  <c r="G13" i="9"/>
  <c r="H13" i="9"/>
  <c r="I13" i="9"/>
  <c r="J13" i="9"/>
  <c r="K13" i="9"/>
  <c r="B9" i="9"/>
  <c r="C9" i="9"/>
  <c r="D9" i="9"/>
  <c r="E9" i="9"/>
  <c r="F9" i="9"/>
  <c r="G9" i="9"/>
  <c r="H9" i="9"/>
  <c r="I9" i="9"/>
  <c r="J9" i="9"/>
  <c r="K9" i="9"/>
  <c r="B170" i="19"/>
  <c r="C170" i="19"/>
  <c r="D170" i="19"/>
  <c r="E170" i="19"/>
  <c r="F170" i="19"/>
  <c r="G170" i="19"/>
  <c r="H170" i="19"/>
  <c r="I170" i="19"/>
  <c r="J170" i="19"/>
  <c r="K170" i="19"/>
  <c r="B170" i="18"/>
  <c r="C170" i="18"/>
  <c r="D170" i="18"/>
  <c r="E170" i="18"/>
  <c r="F170" i="18"/>
  <c r="G170" i="18"/>
  <c r="H170" i="18"/>
  <c r="I170" i="18"/>
  <c r="J170" i="18"/>
  <c r="K170" i="18"/>
  <c r="B170" i="17"/>
  <c r="C170" i="17"/>
  <c r="D170" i="17"/>
  <c r="E170" i="17"/>
  <c r="F170" i="17"/>
  <c r="G170" i="17"/>
  <c r="H170" i="17"/>
  <c r="I170" i="17"/>
  <c r="J170" i="17"/>
  <c r="K170" i="17"/>
  <c r="B8" i="9" l="1"/>
  <c r="C8" i="9"/>
  <c r="D8" i="9"/>
  <c r="E8" i="9"/>
  <c r="F8" i="9"/>
  <c r="G8" i="9"/>
  <c r="H8" i="9"/>
  <c r="I8" i="9"/>
  <c r="J8" i="9"/>
  <c r="K8" i="9"/>
  <c r="B7" i="9" l="1"/>
  <c r="C7" i="9"/>
  <c r="D7" i="9"/>
  <c r="E7" i="9"/>
  <c r="F7" i="9"/>
  <c r="G7" i="9"/>
  <c r="H7" i="9"/>
  <c r="I7" i="9"/>
  <c r="J7" i="9"/>
  <c r="K7" i="9"/>
  <c r="B169" i="19" l="1"/>
  <c r="C169" i="19"/>
  <c r="D169" i="19"/>
  <c r="E169" i="19"/>
  <c r="F169" i="19"/>
  <c r="G169" i="19"/>
  <c r="H169" i="19"/>
  <c r="I169" i="19"/>
  <c r="J169" i="19"/>
  <c r="K169" i="19"/>
  <c r="B169" i="18"/>
  <c r="C169" i="18"/>
  <c r="D169" i="18"/>
  <c r="E169" i="18"/>
  <c r="F169" i="18"/>
  <c r="G169" i="18"/>
  <c r="H169" i="18"/>
  <c r="I169" i="18"/>
  <c r="J169" i="18"/>
  <c r="K169" i="18"/>
  <c r="B169" i="17"/>
  <c r="C169" i="17"/>
  <c r="D169" i="17"/>
  <c r="E169" i="17"/>
  <c r="F169" i="17"/>
  <c r="G169" i="17"/>
  <c r="H169" i="17"/>
  <c r="I169" i="17"/>
  <c r="J169" i="17"/>
  <c r="K169" i="17"/>
  <c r="B168" i="19" l="1"/>
  <c r="C168" i="19"/>
  <c r="D168" i="19"/>
  <c r="E168" i="19"/>
  <c r="F168" i="19"/>
  <c r="G168" i="19"/>
  <c r="H168" i="19"/>
  <c r="I168" i="19"/>
  <c r="J168" i="19"/>
  <c r="K168" i="19"/>
  <c r="B168" i="18"/>
  <c r="C168" i="18"/>
  <c r="D168" i="18"/>
  <c r="E168" i="18"/>
  <c r="F168" i="18"/>
  <c r="G168" i="18"/>
  <c r="H168" i="18"/>
  <c r="I168" i="18"/>
  <c r="J168" i="18"/>
  <c r="K168" i="18"/>
  <c r="B168" i="17"/>
  <c r="B16" i="9" s="1"/>
  <c r="C168" i="17"/>
  <c r="D168" i="17"/>
  <c r="E168" i="17"/>
  <c r="E16" i="9" s="1"/>
  <c r="F168" i="17"/>
  <c r="F16" i="9" s="1"/>
  <c r="G168" i="17"/>
  <c r="G16" i="9" s="1"/>
  <c r="H168" i="17"/>
  <c r="I168" i="17"/>
  <c r="I16" i="9" s="1"/>
  <c r="J168" i="17"/>
  <c r="K168" i="17"/>
  <c r="J16" i="9" l="1"/>
  <c r="D16" i="9"/>
  <c r="C16" i="9"/>
  <c r="K16" i="9"/>
  <c r="H16" i="9"/>
  <c r="B167" i="19"/>
  <c r="C167" i="19"/>
  <c r="D167" i="19"/>
  <c r="E167" i="19"/>
  <c r="F167" i="19"/>
  <c r="G167" i="19"/>
  <c r="H167" i="19"/>
  <c r="I167" i="19"/>
  <c r="J167" i="19"/>
  <c r="K167" i="19"/>
  <c r="B167" i="18"/>
  <c r="C167" i="18"/>
  <c r="D167" i="18"/>
  <c r="E167" i="18"/>
  <c r="F167" i="18"/>
  <c r="G167" i="18"/>
  <c r="H167" i="18"/>
  <c r="I167" i="18"/>
  <c r="J167" i="18"/>
  <c r="K167" i="18"/>
  <c r="B167" i="17"/>
  <c r="C167" i="17"/>
  <c r="D167" i="17"/>
  <c r="D15" i="9" s="1"/>
  <c r="E167" i="17"/>
  <c r="E15" i="9" s="1"/>
  <c r="F167" i="17"/>
  <c r="F15" i="9" s="1"/>
  <c r="G167" i="17"/>
  <c r="G15" i="9" s="1"/>
  <c r="H167" i="17"/>
  <c r="H15" i="9" s="1"/>
  <c r="I167" i="17"/>
  <c r="J167" i="17"/>
  <c r="J15" i="9" s="1"/>
  <c r="K167" i="17"/>
  <c r="B15" i="9" l="1"/>
  <c r="K15" i="9"/>
  <c r="C15" i="9"/>
  <c r="I15" i="9"/>
  <c r="B166" i="19"/>
  <c r="C166" i="19"/>
  <c r="D166" i="19"/>
  <c r="E166" i="19"/>
  <c r="F166" i="19"/>
  <c r="G166" i="19"/>
  <c r="H166" i="19"/>
  <c r="I166" i="19"/>
  <c r="J166" i="19"/>
  <c r="K166" i="19"/>
  <c r="B166" i="18"/>
  <c r="C166" i="18"/>
  <c r="D166" i="18"/>
  <c r="E166" i="18"/>
  <c r="F166" i="18"/>
  <c r="G166" i="18"/>
  <c r="H166" i="18"/>
  <c r="I166" i="18"/>
  <c r="J166" i="18"/>
  <c r="K166" i="18"/>
  <c r="B166" i="17"/>
  <c r="C166" i="17"/>
  <c r="D166" i="17"/>
  <c r="E166" i="17"/>
  <c r="F166" i="17"/>
  <c r="G166" i="17"/>
  <c r="H166" i="17"/>
  <c r="I166" i="17"/>
  <c r="J166" i="17"/>
  <c r="K166" i="17"/>
  <c r="B165" i="19" l="1"/>
  <c r="C165" i="19"/>
  <c r="D165" i="19"/>
  <c r="E165" i="19"/>
  <c r="F165" i="19"/>
  <c r="G165" i="19"/>
  <c r="H165" i="19"/>
  <c r="I165" i="19"/>
  <c r="J165" i="19"/>
  <c r="K165" i="19"/>
  <c r="B165" i="18"/>
  <c r="C165" i="18"/>
  <c r="D165" i="18"/>
  <c r="E165" i="18"/>
  <c r="F165" i="18"/>
  <c r="G165" i="18"/>
  <c r="H165" i="18"/>
  <c r="I165" i="18"/>
  <c r="J165" i="18"/>
  <c r="K165" i="18"/>
  <c r="B165" i="17"/>
  <c r="C165" i="17"/>
  <c r="D165" i="17"/>
  <c r="E165" i="17"/>
  <c r="F165" i="17"/>
  <c r="G165" i="17"/>
  <c r="H165" i="17"/>
  <c r="I165" i="17"/>
  <c r="J165" i="17"/>
  <c r="K165" i="17"/>
  <c r="B164" i="19" l="1"/>
  <c r="C164" i="19"/>
  <c r="D164" i="19"/>
  <c r="E164" i="19"/>
  <c r="F164" i="19"/>
  <c r="G164" i="19"/>
  <c r="H164" i="19"/>
  <c r="I164" i="19"/>
  <c r="J164" i="19"/>
  <c r="K164" i="19"/>
  <c r="B164" i="18"/>
  <c r="C164" i="18"/>
  <c r="D164" i="18"/>
  <c r="E164" i="18"/>
  <c r="F164" i="18"/>
  <c r="G164" i="18"/>
  <c r="H164" i="18"/>
  <c r="I164" i="18"/>
  <c r="J164" i="18"/>
  <c r="K164" i="18"/>
  <c r="B164" i="17"/>
  <c r="C164" i="17"/>
  <c r="D164" i="17"/>
  <c r="E164" i="17"/>
  <c r="F164" i="17"/>
  <c r="G164" i="17"/>
  <c r="H164" i="17"/>
  <c r="I164" i="17"/>
  <c r="J164" i="17"/>
  <c r="K164" i="17"/>
  <c r="B163" i="19" l="1"/>
  <c r="C163" i="19"/>
  <c r="D163" i="19"/>
  <c r="E163" i="19"/>
  <c r="F163" i="19"/>
  <c r="G163" i="19"/>
  <c r="H163" i="19"/>
  <c r="I163" i="19"/>
  <c r="J163" i="19"/>
  <c r="K163" i="19"/>
  <c r="B163" i="18"/>
  <c r="C163" i="18"/>
  <c r="D163" i="18"/>
  <c r="E163" i="18"/>
  <c r="F163" i="18"/>
  <c r="G163" i="18"/>
  <c r="H163" i="18"/>
  <c r="I163" i="18"/>
  <c r="J163" i="18"/>
  <c r="K163" i="18"/>
  <c r="B163" i="17"/>
  <c r="C163" i="17"/>
  <c r="D163" i="17"/>
  <c r="E163" i="17"/>
  <c r="F163" i="17"/>
  <c r="G163" i="17"/>
  <c r="H163" i="17"/>
  <c r="I163" i="17"/>
  <c r="J163" i="17"/>
  <c r="K163" i="17"/>
  <c r="B162" i="19" l="1"/>
  <c r="C162" i="19"/>
  <c r="D162" i="19"/>
  <c r="E162" i="19"/>
  <c r="F162" i="19"/>
  <c r="G162" i="19"/>
  <c r="H162" i="19"/>
  <c r="I162" i="19"/>
  <c r="J162" i="19"/>
  <c r="K162" i="19"/>
  <c r="B162" i="18"/>
  <c r="C162" i="18"/>
  <c r="D162" i="18"/>
  <c r="E162" i="18"/>
  <c r="F162" i="18"/>
  <c r="G162" i="18"/>
  <c r="H162" i="18"/>
  <c r="I162" i="18"/>
  <c r="J162" i="18"/>
  <c r="K162" i="18"/>
  <c r="B162" i="17"/>
  <c r="C162" i="17"/>
  <c r="D162" i="17"/>
  <c r="E162" i="17"/>
  <c r="F162" i="17"/>
  <c r="G162" i="17"/>
  <c r="H162" i="17"/>
  <c r="I162" i="17"/>
  <c r="J162" i="17"/>
  <c r="K162" i="17"/>
  <c r="B161" i="19" l="1"/>
  <c r="C161" i="19"/>
  <c r="D161" i="19"/>
  <c r="E161" i="19"/>
  <c r="F161" i="19"/>
  <c r="G161" i="19"/>
  <c r="H161" i="19"/>
  <c r="I161" i="19"/>
  <c r="J161" i="19"/>
  <c r="K161" i="19"/>
  <c r="B161" i="18"/>
  <c r="C161" i="18"/>
  <c r="D161" i="18"/>
  <c r="E161" i="18"/>
  <c r="F161" i="18"/>
  <c r="G161" i="18"/>
  <c r="H161" i="18"/>
  <c r="I161" i="18"/>
  <c r="J161" i="18"/>
  <c r="K161" i="18"/>
  <c r="B161" i="17"/>
  <c r="C161" i="17"/>
  <c r="D161" i="17"/>
  <c r="E161" i="17"/>
  <c r="F161" i="17"/>
  <c r="G161" i="17"/>
  <c r="H161" i="17"/>
  <c r="I161" i="17"/>
  <c r="J161" i="17"/>
  <c r="K161" i="17"/>
  <c r="B160" i="19" l="1"/>
  <c r="F159" i="17" l="1"/>
  <c r="E159" i="17"/>
  <c r="D159" i="17"/>
  <c r="C159" i="17"/>
  <c r="B159" i="17"/>
  <c r="B159" i="19" l="1"/>
  <c r="C159" i="19"/>
  <c r="D159" i="19"/>
  <c r="E159" i="19"/>
  <c r="F159" i="19"/>
  <c r="G159" i="19"/>
  <c r="H159" i="19"/>
  <c r="I159" i="19"/>
  <c r="J159" i="19"/>
  <c r="K159" i="19"/>
  <c r="C160" i="19"/>
  <c r="D160" i="19"/>
  <c r="E160" i="19"/>
  <c r="F160" i="19"/>
  <c r="G160" i="19"/>
  <c r="H160" i="19"/>
  <c r="I160" i="19"/>
  <c r="J160" i="19"/>
  <c r="K160" i="19"/>
  <c r="B159" i="18"/>
  <c r="C159" i="18"/>
  <c r="D159" i="18"/>
  <c r="E159" i="18"/>
  <c r="F159" i="18"/>
  <c r="G159" i="18"/>
  <c r="H159" i="18"/>
  <c r="I159" i="18"/>
  <c r="J159" i="18"/>
  <c r="K159" i="18"/>
  <c r="B160" i="18"/>
  <c r="C160" i="18"/>
  <c r="D160" i="18"/>
  <c r="E160" i="18"/>
  <c r="F160" i="18"/>
  <c r="G160" i="18"/>
  <c r="H160" i="18"/>
  <c r="I160" i="18"/>
  <c r="J160" i="18"/>
  <c r="K160" i="18"/>
  <c r="B160" i="17"/>
  <c r="C160" i="17"/>
  <c r="D160" i="17"/>
  <c r="E160" i="17"/>
  <c r="F160" i="17"/>
  <c r="G160" i="17"/>
  <c r="H160" i="17"/>
  <c r="I160" i="17"/>
  <c r="J160" i="17"/>
  <c r="K160" i="17"/>
  <c r="G159" i="17"/>
  <c r="H159" i="17"/>
  <c r="I159" i="17"/>
  <c r="J159" i="17"/>
  <c r="K159" i="17"/>
  <c r="B156" i="19" l="1"/>
  <c r="C156" i="19"/>
  <c r="D156" i="19"/>
  <c r="E156" i="19"/>
  <c r="F156" i="19"/>
  <c r="G156" i="19"/>
  <c r="H156" i="19"/>
  <c r="I156" i="19"/>
  <c r="J156" i="19"/>
  <c r="K156" i="19"/>
  <c r="B157" i="19"/>
  <c r="C157" i="19"/>
  <c r="D157" i="19"/>
  <c r="E157" i="19"/>
  <c r="F157" i="19"/>
  <c r="G157" i="19"/>
  <c r="H157" i="19"/>
  <c r="I157" i="19"/>
  <c r="J157" i="19"/>
  <c r="K157" i="19"/>
  <c r="B158" i="19"/>
  <c r="C158" i="19"/>
  <c r="D158" i="19"/>
  <c r="E158" i="19"/>
  <c r="F158" i="19"/>
  <c r="G158" i="19"/>
  <c r="H158" i="19"/>
  <c r="I158" i="19"/>
  <c r="J158" i="19"/>
  <c r="K158" i="19"/>
  <c r="B156" i="18"/>
  <c r="B19" i="9" s="1"/>
  <c r="C156" i="18"/>
  <c r="C19" i="9" s="1"/>
  <c r="D156" i="18"/>
  <c r="D19" i="9" s="1"/>
  <c r="E156" i="18"/>
  <c r="E19" i="9" s="1"/>
  <c r="F156" i="18"/>
  <c r="F19" i="9" s="1"/>
  <c r="G156" i="18"/>
  <c r="G19" i="9" s="1"/>
  <c r="H156" i="18"/>
  <c r="H19" i="9" s="1"/>
  <c r="I156" i="18"/>
  <c r="I19" i="9" s="1"/>
  <c r="J156" i="18"/>
  <c r="J19" i="9" s="1"/>
  <c r="K156" i="18"/>
  <c r="K19" i="9" s="1"/>
  <c r="B157" i="18"/>
  <c r="B20" i="9" s="1"/>
  <c r="C157" i="18"/>
  <c r="C20" i="9" s="1"/>
  <c r="D157" i="18"/>
  <c r="D20" i="9" s="1"/>
  <c r="E157" i="18"/>
  <c r="E20" i="9" s="1"/>
  <c r="F157" i="18"/>
  <c r="F20" i="9" s="1"/>
  <c r="G157" i="18"/>
  <c r="G20" i="9" s="1"/>
  <c r="H157" i="18"/>
  <c r="H20" i="9" s="1"/>
  <c r="I157" i="18"/>
  <c r="I20" i="9" s="1"/>
  <c r="J157" i="18"/>
  <c r="J20" i="9" s="1"/>
  <c r="K157" i="18"/>
  <c r="K20" i="9" s="1"/>
  <c r="B158" i="18"/>
  <c r="C158" i="18"/>
  <c r="D158" i="18"/>
  <c r="E158" i="18"/>
  <c r="F158" i="18"/>
  <c r="G158" i="18"/>
  <c r="H158" i="18"/>
  <c r="I158" i="18"/>
  <c r="J158" i="18"/>
  <c r="K158" i="18"/>
  <c r="I156" i="17" l="1"/>
  <c r="I11" i="9" s="1"/>
  <c r="B156" i="17"/>
  <c r="B11" i="9" s="1"/>
  <c r="C156" i="17"/>
  <c r="C11" i="9" s="1"/>
  <c r="D156" i="17"/>
  <c r="D11" i="9" s="1"/>
  <c r="E156" i="17"/>
  <c r="E11" i="9" s="1"/>
  <c r="F156" i="17"/>
  <c r="F11" i="9" s="1"/>
  <c r="G156" i="17"/>
  <c r="G11" i="9" s="1"/>
  <c r="H156" i="17"/>
  <c r="H11" i="9" s="1"/>
  <c r="J156" i="17"/>
  <c r="J11" i="9" s="1"/>
  <c r="K156" i="17"/>
  <c r="K11" i="9" s="1"/>
  <c r="B157" i="17"/>
  <c r="B12" i="9" s="1"/>
  <c r="C157" i="17"/>
  <c r="C12" i="9" s="1"/>
  <c r="D157" i="17"/>
  <c r="D12" i="9" s="1"/>
  <c r="E157" i="17"/>
  <c r="E12" i="9" s="1"/>
  <c r="F157" i="17"/>
  <c r="F12" i="9" s="1"/>
  <c r="G157" i="17"/>
  <c r="G12" i="9" s="1"/>
  <c r="H157" i="17"/>
  <c r="H12" i="9" s="1"/>
  <c r="I157" i="17"/>
  <c r="I12" i="9" s="1"/>
  <c r="J157" i="17"/>
  <c r="J12" i="9" s="1"/>
  <c r="K157" i="17"/>
  <c r="K12" i="9" s="1"/>
  <c r="B158" i="17"/>
  <c r="C158" i="17"/>
  <c r="D158" i="17"/>
  <c r="E158" i="17"/>
  <c r="F158" i="17"/>
  <c r="G158" i="17"/>
  <c r="H158" i="17"/>
  <c r="I158" i="17"/>
  <c r="J158" i="17"/>
  <c r="K158" i="17"/>
  <c r="B155" i="19" l="1"/>
  <c r="C155" i="19"/>
  <c r="D155" i="19"/>
  <c r="E155" i="19"/>
  <c r="F155" i="19"/>
  <c r="G155" i="19"/>
  <c r="H155" i="19"/>
  <c r="I155" i="19"/>
  <c r="J155" i="19"/>
  <c r="K155" i="19"/>
  <c r="B155" i="18"/>
  <c r="C155" i="18"/>
  <c r="D155" i="18"/>
  <c r="E155" i="18"/>
  <c r="F155" i="18"/>
  <c r="G155" i="18"/>
  <c r="H155" i="18"/>
  <c r="I155" i="18"/>
  <c r="J155" i="18"/>
  <c r="K155" i="18"/>
  <c r="B155" i="17"/>
  <c r="C155" i="17"/>
  <c r="D155" i="17"/>
  <c r="E155" i="17"/>
  <c r="F155" i="17"/>
  <c r="G155" i="17"/>
  <c r="H155" i="17"/>
  <c r="I155" i="17"/>
  <c r="J155" i="17"/>
  <c r="K155" i="17"/>
  <c r="B154" i="19" l="1"/>
  <c r="C154" i="19"/>
  <c r="D154" i="19"/>
  <c r="E154" i="19"/>
  <c r="F154" i="19"/>
  <c r="G154" i="19"/>
  <c r="H154" i="19"/>
  <c r="I154" i="19"/>
  <c r="J154" i="19"/>
  <c r="K154" i="19"/>
  <c r="B154" i="18"/>
  <c r="C154" i="18"/>
  <c r="D154" i="18"/>
  <c r="E154" i="18"/>
  <c r="F154" i="18"/>
  <c r="G154" i="18"/>
  <c r="H154" i="18"/>
  <c r="I154" i="18"/>
  <c r="J154" i="18"/>
  <c r="K154" i="18"/>
  <c r="B154" i="17"/>
  <c r="C154" i="17"/>
  <c r="D154" i="17"/>
  <c r="E154" i="17"/>
  <c r="F154" i="17"/>
  <c r="G154" i="17"/>
  <c r="H154" i="17"/>
  <c r="I154" i="17"/>
  <c r="J154" i="17"/>
  <c r="K154" i="17"/>
  <c r="B152" i="19" l="1"/>
  <c r="C152" i="19"/>
  <c r="D152" i="19"/>
  <c r="E152" i="19"/>
  <c r="F152" i="19"/>
  <c r="G152" i="19"/>
  <c r="H152" i="19"/>
  <c r="I152" i="19"/>
  <c r="J152" i="19"/>
  <c r="K152" i="19"/>
  <c r="B153" i="19"/>
  <c r="C153" i="19"/>
  <c r="D153" i="19"/>
  <c r="E153" i="19"/>
  <c r="F153" i="19"/>
  <c r="G153" i="19"/>
  <c r="H153" i="19"/>
  <c r="I153" i="19"/>
  <c r="J153" i="19"/>
  <c r="K153" i="19"/>
  <c r="B152" i="18"/>
  <c r="C152" i="18"/>
  <c r="D152" i="18"/>
  <c r="E152" i="18"/>
  <c r="F152" i="18"/>
  <c r="G152" i="18"/>
  <c r="H152" i="18"/>
  <c r="I152" i="18"/>
  <c r="J152" i="18"/>
  <c r="K152" i="18"/>
  <c r="B153" i="18"/>
  <c r="C153" i="18"/>
  <c r="D153" i="18"/>
  <c r="E153" i="18"/>
  <c r="F153" i="18"/>
  <c r="G153" i="18"/>
  <c r="H153" i="18"/>
  <c r="I153" i="18"/>
  <c r="J153" i="18"/>
  <c r="K153" i="18"/>
  <c r="B152" i="17"/>
  <c r="C152" i="17"/>
  <c r="D152" i="17"/>
  <c r="E152" i="17"/>
  <c r="F152" i="17"/>
  <c r="G152" i="17"/>
  <c r="H152" i="17"/>
  <c r="I152" i="17"/>
  <c r="J152" i="17"/>
  <c r="K152" i="17"/>
  <c r="B153" i="17"/>
  <c r="C153" i="17"/>
  <c r="D153" i="17"/>
  <c r="E153" i="17"/>
  <c r="F153" i="17"/>
  <c r="G153" i="17"/>
  <c r="H153" i="17"/>
  <c r="I153" i="17"/>
  <c r="J153" i="17"/>
  <c r="K153" i="17"/>
  <c r="B151" i="19" l="1"/>
  <c r="C151" i="19"/>
  <c r="D151" i="19"/>
  <c r="E151" i="19"/>
  <c r="F151" i="19"/>
  <c r="G151" i="19"/>
  <c r="H151" i="19"/>
  <c r="I151" i="19"/>
  <c r="J151" i="19"/>
  <c r="K151" i="19"/>
  <c r="B151" i="18"/>
  <c r="C151" i="18"/>
  <c r="D151" i="18"/>
  <c r="E151" i="18"/>
  <c r="F151" i="18"/>
  <c r="G151" i="18"/>
  <c r="H151" i="18"/>
  <c r="I151" i="18"/>
  <c r="J151" i="18"/>
  <c r="K151" i="18"/>
  <c r="B151" i="17"/>
  <c r="C151" i="17"/>
  <c r="D151" i="17"/>
  <c r="E151" i="17"/>
  <c r="F151" i="17"/>
  <c r="G151" i="17"/>
  <c r="H151" i="17"/>
  <c r="I151" i="17"/>
  <c r="J151" i="17"/>
  <c r="K151" i="17"/>
  <c r="B150" i="19" l="1"/>
  <c r="C150" i="19"/>
  <c r="D150" i="19"/>
  <c r="E150" i="19"/>
  <c r="F150" i="19"/>
  <c r="G150" i="19"/>
  <c r="H150" i="19"/>
  <c r="I150" i="19"/>
  <c r="J150" i="19"/>
  <c r="K150" i="19"/>
  <c r="B150" i="18"/>
  <c r="C150" i="18"/>
  <c r="D150" i="18"/>
  <c r="E150" i="18"/>
  <c r="F150" i="18"/>
  <c r="G150" i="18"/>
  <c r="H150" i="18"/>
  <c r="I150" i="18"/>
  <c r="J150" i="18"/>
  <c r="K150" i="18"/>
  <c r="B150" i="17"/>
  <c r="C150" i="17"/>
  <c r="D150" i="17"/>
  <c r="E150" i="17"/>
  <c r="F150" i="17"/>
  <c r="G150" i="17"/>
  <c r="H150" i="17"/>
  <c r="I150" i="17"/>
  <c r="J150" i="17"/>
  <c r="K150" i="17"/>
  <c r="B149" i="19" l="1"/>
  <c r="C149" i="19"/>
  <c r="D149" i="19"/>
  <c r="E149" i="19"/>
  <c r="F149" i="19"/>
  <c r="G149" i="19"/>
  <c r="H149" i="19"/>
  <c r="I149" i="19"/>
  <c r="J149" i="19"/>
  <c r="K149" i="19"/>
  <c r="B149" i="18"/>
  <c r="C149" i="18"/>
  <c r="D149" i="18"/>
  <c r="E149" i="18"/>
  <c r="F149" i="18"/>
  <c r="G149" i="18"/>
  <c r="H149" i="18"/>
  <c r="I149" i="18"/>
  <c r="J149" i="18"/>
  <c r="K149" i="18"/>
  <c r="B149" i="17"/>
  <c r="C149" i="17"/>
  <c r="D149" i="17"/>
  <c r="E149" i="17"/>
  <c r="F149" i="17"/>
  <c r="G149" i="17"/>
  <c r="H149" i="17"/>
  <c r="I149" i="17"/>
  <c r="J149" i="17"/>
  <c r="K149" i="17"/>
  <c r="B148" i="19" l="1"/>
  <c r="C148" i="19"/>
  <c r="D148" i="19"/>
  <c r="E148" i="19"/>
  <c r="F148" i="19"/>
  <c r="G148" i="19"/>
  <c r="H148" i="19"/>
  <c r="I148" i="19"/>
  <c r="J148" i="19"/>
  <c r="K148" i="19"/>
  <c r="B148" i="18"/>
  <c r="C148" i="18"/>
  <c r="D148" i="18"/>
  <c r="E148" i="18"/>
  <c r="F148" i="18"/>
  <c r="G148" i="18"/>
  <c r="H148" i="18"/>
  <c r="I148" i="18"/>
  <c r="J148" i="18"/>
  <c r="K148" i="18"/>
  <c r="B148" i="17"/>
  <c r="C148" i="17"/>
  <c r="D148" i="17"/>
  <c r="E148" i="17"/>
  <c r="F148" i="17"/>
  <c r="G148" i="17"/>
  <c r="H148" i="17"/>
  <c r="I148" i="17"/>
  <c r="J148" i="17"/>
  <c r="K148" i="17"/>
  <c r="B147" i="19" l="1"/>
  <c r="C147" i="19"/>
  <c r="D147" i="19"/>
  <c r="E147" i="19"/>
  <c r="F147" i="19"/>
  <c r="G147" i="19"/>
  <c r="H147" i="19"/>
  <c r="I147" i="19"/>
  <c r="J147" i="19"/>
  <c r="K147" i="19"/>
  <c r="B147" i="18"/>
  <c r="C147" i="18"/>
  <c r="D147" i="18"/>
  <c r="E147" i="18"/>
  <c r="F147" i="18"/>
  <c r="G147" i="18"/>
  <c r="H147" i="18"/>
  <c r="I147" i="18"/>
  <c r="J147" i="18"/>
  <c r="K147" i="18"/>
  <c r="B147" i="17"/>
  <c r="C147" i="17"/>
  <c r="D147" i="17"/>
  <c r="E147" i="17"/>
  <c r="F147" i="17"/>
  <c r="G147" i="17"/>
  <c r="H147" i="17"/>
  <c r="I147" i="17"/>
  <c r="J147" i="17"/>
  <c r="K147" i="17"/>
  <c r="B146" i="19" l="1"/>
  <c r="C146" i="19"/>
  <c r="D146" i="19"/>
  <c r="E146" i="19"/>
  <c r="F146" i="19"/>
  <c r="G146" i="19"/>
  <c r="H146" i="19"/>
  <c r="I146" i="19"/>
  <c r="J146" i="19"/>
  <c r="K146" i="19"/>
  <c r="B146" i="18"/>
  <c r="C146" i="18"/>
  <c r="D146" i="18"/>
  <c r="E146" i="18"/>
  <c r="F146" i="18"/>
  <c r="G146" i="18"/>
  <c r="H146" i="18"/>
  <c r="I146" i="18"/>
  <c r="J146" i="18"/>
  <c r="K146" i="18"/>
  <c r="B146" i="17"/>
  <c r="C146" i="17"/>
  <c r="D146" i="17"/>
  <c r="E146" i="17"/>
  <c r="F146" i="17"/>
  <c r="G146" i="17"/>
  <c r="H146" i="17"/>
  <c r="I146" i="17"/>
  <c r="J146" i="17"/>
  <c r="K146" i="17"/>
  <c r="B145" i="19" l="1"/>
  <c r="C145" i="19"/>
  <c r="D145" i="19"/>
  <c r="E145" i="19"/>
  <c r="F145" i="19"/>
  <c r="G145" i="19"/>
  <c r="H145" i="19"/>
  <c r="I145" i="19"/>
  <c r="J145" i="19"/>
  <c r="K145" i="19"/>
  <c r="B145" i="18"/>
  <c r="C145" i="18"/>
  <c r="D145" i="18"/>
  <c r="E145" i="18"/>
  <c r="F145" i="18"/>
  <c r="G145" i="18"/>
  <c r="H145" i="18"/>
  <c r="I145" i="18"/>
  <c r="J145" i="18"/>
  <c r="K145" i="18"/>
  <c r="B145" i="17"/>
  <c r="C145" i="17"/>
  <c r="D145" i="17"/>
  <c r="E145" i="17"/>
  <c r="F145" i="17"/>
  <c r="G145" i="17"/>
  <c r="H145" i="17"/>
  <c r="I145" i="17"/>
  <c r="J145" i="17"/>
  <c r="K145" i="17"/>
  <c r="B144" i="19" l="1"/>
  <c r="C144" i="19"/>
  <c r="D144" i="19"/>
  <c r="E144" i="19"/>
  <c r="F144" i="19"/>
  <c r="G144" i="19"/>
  <c r="H144" i="19"/>
  <c r="I144" i="19"/>
  <c r="J144" i="19"/>
  <c r="K144" i="19"/>
  <c r="B144" i="18"/>
  <c r="C144" i="18"/>
  <c r="D144" i="18"/>
  <c r="E144" i="18"/>
  <c r="F144" i="18"/>
  <c r="G144" i="18"/>
  <c r="H144" i="18"/>
  <c r="I144" i="18"/>
  <c r="J144" i="18"/>
  <c r="K144" i="18"/>
  <c r="B144" i="17"/>
  <c r="C144" i="17"/>
  <c r="D144" i="17"/>
  <c r="E144" i="17"/>
  <c r="F144" i="17"/>
  <c r="G144" i="17"/>
  <c r="H144" i="17"/>
  <c r="I144" i="17"/>
  <c r="J144" i="17"/>
  <c r="K144" i="17"/>
  <c r="B143" i="19" l="1"/>
  <c r="C143" i="19"/>
  <c r="D143" i="19"/>
  <c r="E143" i="19"/>
  <c r="F143" i="19"/>
  <c r="G143" i="19"/>
  <c r="H143" i="19"/>
  <c r="I143" i="19"/>
  <c r="J143" i="19"/>
  <c r="K143" i="19"/>
  <c r="B143" i="18"/>
  <c r="C143" i="18"/>
  <c r="D143" i="18"/>
  <c r="E143" i="18"/>
  <c r="F143" i="18"/>
  <c r="G143" i="18"/>
  <c r="H143" i="18"/>
  <c r="I143" i="18"/>
  <c r="J143" i="18"/>
  <c r="K143" i="18"/>
  <c r="B143" i="17"/>
  <c r="C143" i="17"/>
  <c r="D143" i="17"/>
  <c r="E143" i="17"/>
  <c r="F143" i="17"/>
  <c r="G143" i="17"/>
  <c r="H143" i="17"/>
  <c r="I143" i="17"/>
  <c r="J143" i="17"/>
  <c r="K143" i="17"/>
  <c r="B142" i="19" l="1"/>
  <c r="C142" i="19"/>
  <c r="D142" i="19"/>
  <c r="E142" i="19"/>
  <c r="F142" i="19"/>
  <c r="G142" i="19"/>
  <c r="H142" i="19"/>
  <c r="I142" i="19"/>
  <c r="J142" i="19"/>
  <c r="K142" i="19"/>
  <c r="B142" i="18"/>
  <c r="C142" i="18"/>
  <c r="D142" i="18"/>
  <c r="E142" i="18"/>
  <c r="F142" i="18"/>
  <c r="G142" i="18"/>
  <c r="H142" i="18"/>
  <c r="I142" i="18"/>
  <c r="J142" i="18"/>
  <c r="K142" i="18"/>
  <c r="B142" i="17"/>
  <c r="C142" i="17"/>
  <c r="D142" i="17"/>
  <c r="E142" i="17"/>
  <c r="F142" i="17"/>
  <c r="G142" i="17"/>
  <c r="H142" i="17"/>
  <c r="I142" i="17"/>
  <c r="J142" i="17"/>
  <c r="K142" i="17"/>
  <c r="B141" i="19" l="1"/>
  <c r="C141" i="19"/>
  <c r="D141" i="19"/>
  <c r="E141" i="19"/>
  <c r="F141" i="19"/>
  <c r="G141" i="19"/>
  <c r="H141" i="19"/>
  <c r="I141" i="19"/>
  <c r="J141" i="19"/>
  <c r="K141" i="19"/>
  <c r="B141" i="18"/>
  <c r="C141" i="18"/>
  <c r="D141" i="18"/>
  <c r="E141" i="18"/>
  <c r="F141" i="18"/>
  <c r="G141" i="18"/>
  <c r="H141" i="18"/>
  <c r="I141" i="18"/>
  <c r="J141" i="18"/>
  <c r="K141" i="18"/>
  <c r="B141" i="17"/>
  <c r="C141" i="17"/>
  <c r="D141" i="17"/>
  <c r="E141" i="17"/>
  <c r="F141" i="17"/>
  <c r="G141" i="17"/>
  <c r="H141" i="17"/>
  <c r="I141" i="17"/>
  <c r="J141" i="17"/>
  <c r="K141" i="17"/>
  <c r="B140" i="18" l="1"/>
  <c r="C140" i="18"/>
  <c r="D140" i="18"/>
  <c r="E140" i="18"/>
  <c r="F140" i="18"/>
  <c r="G140" i="18"/>
  <c r="H140" i="18"/>
  <c r="I140" i="18"/>
  <c r="J140" i="18"/>
  <c r="K140" i="18"/>
  <c r="B140" i="19"/>
  <c r="C140" i="19"/>
  <c r="D140" i="19"/>
  <c r="E140" i="19"/>
  <c r="F140" i="19"/>
  <c r="G140" i="19"/>
  <c r="H140" i="19"/>
  <c r="I140" i="19"/>
  <c r="J140" i="19"/>
  <c r="K140" i="19"/>
  <c r="B140" i="17"/>
  <c r="C140" i="17"/>
  <c r="D140" i="17"/>
  <c r="E140" i="17"/>
  <c r="F140" i="17"/>
  <c r="G140" i="17"/>
  <c r="H140" i="17"/>
  <c r="I140" i="17"/>
  <c r="J140" i="17"/>
  <c r="K140" i="17"/>
  <c r="B139" i="19" l="1"/>
  <c r="C139" i="19"/>
  <c r="D139" i="19"/>
  <c r="E139" i="19"/>
  <c r="F139" i="19"/>
  <c r="G139" i="19"/>
  <c r="H139" i="19"/>
  <c r="I139" i="19"/>
  <c r="J139" i="19"/>
  <c r="K139" i="19"/>
  <c r="B139" i="18"/>
  <c r="C139" i="18"/>
  <c r="D139" i="18"/>
  <c r="E139" i="18"/>
  <c r="F139" i="18"/>
  <c r="G139" i="18"/>
  <c r="H139" i="18"/>
  <c r="I139" i="18"/>
  <c r="J139" i="18"/>
  <c r="K139" i="18"/>
  <c r="B139" i="17"/>
  <c r="C139" i="17"/>
  <c r="D139" i="17"/>
  <c r="E139" i="17"/>
  <c r="F139" i="17"/>
  <c r="G139" i="17"/>
  <c r="H139" i="17"/>
  <c r="I139" i="17"/>
  <c r="J139" i="17"/>
  <c r="K139" i="17"/>
  <c r="B138" i="18" l="1"/>
  <c r="C138" i="18"/>
  <c r="D138" i="18"/>
  <c r="E138" i="18"/>
  <c r="F138" i="18"/>
  <c r="G138" i="18"/>
  <c r="H138" i="18"/>
  <c r="I138" i="18"/>
  <c r="J138" i="18"/>
  <c r="K138" i="18"/>
  <c r="B138" i="19"/>
  <c r="C138" i="19"/>
  <c r="D138" i="19"/>
  <c r="E138" i="19"/>
  <c r="F138" i="19"/>
  <c r="G138" i="19"/>
  <c r="H138" i="19"/>
  <c r="I138" i="19"/>
  <c r="J138" i="19"/>
  <c r="K138" i="19"/>
  <c r="B138" i="17"/>
  <c r="C138" i="17"/>
  <c r="D138" i="17"/>
  <c r="E138" i="17"/>
  <c r="F138" i="17"/>
  <c r="G138" i="17"/>
  <c r="H138" i="17"/>
  <c r="I138" i="17"/>
  <c r="J138" i="17"/>
  <c r="K138" i="17"/>
  <c r="B137" i="18" l="1"/>
  <c r="C137" i="18"/>
  <c r="D137" i="18"/>
  <c r="E137" i="18"/>
  <c r="F137" i="18"/>
  <c r="G137" i="18"/>
  <c r="H137" i="18"/>
  <c r="I137" i="18"/>
  <c r="J137" i="18"/>
  <c r="K137" i="18"/>
  <c r="B137" i="19"/>
  <c r="C137" i="19"/>
  <c r="D137" i="19"/>
  <c r="E137" i="19"/>
  <c r="F137" i="19"/>
  <c r="G137" i="19"/>
  <c r="H137" i="19"/>
  <c r="I137" i="19"/>
  <c r="J137" i="19"/>
  <c r="K137" i="19"/>
  <c r="B137" i="17"/>
  <c r="C137" i="17"/>
  <c r="D137" i="17"/>
  <c r="E137" i="17"/>
  <c r="F137" i="17"/>
  <c r="G137" i="17"/>
  <c r="H137" i="17"/>
  <c r="I137" i="17"/>
  <c r="J137" i="17"/>
  <c r="K137" i="17"/>
  <c r="B136" i="19" l="1"/>
  <c r="C136" i="19"/>
  <c r="D136" i="19"/>
  <c r="E136" i="19"/>
  <c r="F136" i="19"/>
  <c r="G136" i="19"/>
  <c r="H136" i="19"/>
  <c r="I136" i="19"/>
  <c r="J136" i="19"/>
  <c r="K136" i="19"/>
  <c r="B136" i="18"/>
  <c r="C136" i="18"/>
  <c r="D136" i="18"/>
  <c r="E136" i="18"/>
  <c r="F136" i="18"/>
  <c r="G136" i="18"/>
  <c r="H136" i="18"/>
  <c r="I136" i="18"/>
  <c r="J136" i="18"/>
  <c r="K136" i="18"/>
  <c r="B136" i="17"/>
  <c r="C136" i="17"/>
  <c r="D136" i="17"/>
  <c r="E136" i="17"/>
  <c r="F136" i="17"/>
  <c r="G136" i="17"/>
  <c r="H136" i="17"/>
  <c r="I136" i="17"/>
  <c r="J136" i="17"/>
  <c r="K136" i="17"/>
  <c r="A4" i="1" l="1"/>
  <c r="K135" i="18"/>
  <c r="J135" i="18"/>
  <c r="I135" i="18"/>
  <c r="H135" i="18"/>
  <c r="G135" i="18"/>
  <c r="F135" i="18"/>
  <c r="E135" i="18"/>
  <c r="D135" i="18"/>
  <c r="C135" i="18"/>
  <c r="B135" i="18"/>
  <c r="K134" i="18"/>
  <c r="J134" i="18"/>
  <c r="I134" i="18"/>
  <c r="H134" i="18"/>
  <c r="G134" i="18"/>
  <c r="F134" i="18"/>
  <c r="E134" i="18"/>
  <c r="D134" i="18"/>
  <c r="C134" i="18"/>
  <c r="B134" i="18"/>
  <c r="K133" i="18"/>
  <c r="J133" i="18"/>
  <c r="I133" i="18"/>
  <c r="H133" i="18"/>
  <c r="G133" i="18"/>
  <c r="F133" i="18"/>
  <c r="E133" i="18"/>
  <c r="D133" i="18"/>
  <c r="C133" i="18"/>
  <c r="B133" i="18"/>
  <c r="K132" i="18"/>
  <c r="J132" i="18"/>
  <c r="I132" i="18"/>
  <c r="H132" i="18"/>
  <c r="G132" i="18"/>
  <c r="F132" i="18"/>
  <c r="E132" i="18"/>
  <c r="D132" i="18"/>
  <c r="C132" i="18"/>
  <c r="B132" i="18"/>
  <c r="K131" i="18"/>
  <c r="J131" i="18"/>
  <c r="I131" i="18"/>
  <c r="H131" i="18"/>
  <c r="G131" i="18"/>
  <c r="F131" i="18"/>
  <c r="E131" i="18"/>
  <c r="D131" i="18"/>
  <c r="C131" i="18"/>
  <c r="B131" i="18"/>
  <c r="K130" i="18"/>
  <c r="J130" i="18"/>
  <c r="I130" i="18"/>
  <c r="H130" i="18"/>
  <c r="G130" i="18"/>
  <c r="F130" i="18"/>
  <c r="E130" i="18"/>
  <c r="D130" i="18"/>
  <c r="C130" i="18"/>
  <c r="B130" i="18"/>
  <c r="K129" i="18"/>
  <c r="J129" i="18"/>
  <c r="I129" i="18"/>
  <c r="H129" i="18"/>
  <c r="G129" i="18"/>
  <c r="F129" i="18"/>
  <c r="E129" i="18"/>
  <c r="D129" i="18"/>
  <c r="C129" i="18"/>
  <c r="B129" i="18"/>
  <c r="K128" i="18"/>
  <c r="J128" i="18"/>
  <c r="I128" i="18"/>
  <c r="H128" i="18"/>
  <c r="G128" i="18"/>
  <c r="F128" i="18"/>
  <c r="E128" i="18"/>
  <c r="D128" i="18"/>
  <c r="C128" i="18"/>
  <c r="B128" i="18"/>
  <c r="K127" i="18"/>
  <c r="J127" i="18"/>
  <c r="I127" i="18"/>
  <c r="H127" i="18"/>
  <c r="G127" i="18"/>
  <c r="F127" i="18"/>
  <c r="E127" i="18"/>
  <c r="D127" i="18"/>
  <c r="C127" i="18"/>
  <c r="B127" i="18"/>
  <c r="K126" i="18"/>
  <c r="J126" i="18"/>
  <c r="I126" i="18"/>
  <c r="H126" i="18"/>
  <c r="G126" i="18"/>
  <c r="F126" i="18"/>
  <c r="E126" i="18"/>
  <c r="D126" i="18"/>
  <c r="C126" i="18"/>
  <c r="B126" i="18"/>
  <c r="K125" i="18"/>
  <c r="J125" i="18"/>
  <c r="I125" i="18"/>
  <c r="H125" i="18"/>
  <c r="G125" i="18"/>
  <c r="F125" i="18"/>
  <c r="E125" i="18"/>
  <c r="D125" i="18"/>
  <c r="C125" i="18"/>
  <c r="B125" i="18"/>
  <c r="K124" i="18"/>
  <c r="J124" i="18"/>
  <c r="I124" i="18"/>
  <c r="H124" i="18"/>
  <c r="G124" i="18"/>
  <c r="F124" i="18"/>
  <c r="E124" i="18"/>
  <c r="D124" i="18"/>
  <c r="C124" i="18"/>
  <c r="B124" i="18"/>
  <c r="K123" i="18"/>
  <c r="J123" i="18"/>
  <c r="I123" i="18"/>
  <c r="H123" i="18"/>
  <c r="G123" i="18"/>
  <c r="F123" i="18"/>
  <c r="E123" i="18"/>
  <c r="D123" i="18"/>
  <c r="C123" i="18"/>
  <c r="B123" i="18"/>
  <c r="K122" i="18"/>
  <c r="J122" i="18"/>
  <c r="I122" i="18"/>
  <c r="H122" i="18"/>
  <c r="G122" i="18"/>
  <c r="F122" i="18"/>
  <c r="E122" i="18"/>
  <c r="D122" i="18"/>
  <c r="C122" i="18"/>
  <c r="B122" i="18"/>
  <c r="K121" i="18"/>
  <c r="J121" i="18"/>
  <c r="I121" i="18"/>
  <c r="H121" i="18"/>
  <c r="G121" i="18"/>
  <c r="F121" i="18"/>
  <c r="E121" i="18"/>
  <c r="D121" i="18"/>
  <c r="C121" i="18"/>
  <c r="B121" i="18"/>
  <c r="K120" i="18"/>
  <c r="J120" i="18"/>
  <c r="I120" i="18"/>
  <c r="H120" i="18"/>
  <c r="G120" i="18"/>
  <c r="F120" i="18"/>
  <c r="E120" i="18"/>
  <c r="D120" i="18"/>
  <c r="C120" i="18"/>
  <c r="B120" i="18"/>
  <c r="K119" i="18"/>
  <c r="J119" i="18"/>
  <c r="I119" i="18"/>
  <c r="H119" i="18"/>
  <c r="G119" i="18"/>
  <c r="F119" i="18"/>
  <c r="E119" i="18"/>
  <c r="D119" i="18"/>
  <c r="C119" i="18"/>
  <c r="B119" i="18"/>
  <c r="K118" i="18"/>
  <c r="J118" i="18"/>
  <c r="I118" i="18"/>
  <c r="H118" i="18"/>
  <c r="G118" i="18"/>
  <c r="F118" i="18"/>
  <c r="E118" i="18"/>
  <c r="D118" i="18"/>
  <c r="C118" i="18"/>
  <c r="B118" i="18"/>
  <c r="K117" i="18"/>
  <c r="J117" i="18"/>
  <c r="I117" i="18"/>
  <c r="H117" i="18"/>
  <c r="G117" i="18"/>
  <c r="F117" i="18"/>
  <c r="E117" i="18"/>
  <c r="D117" i="18"/>
  <c r="C117" i="18"/>
  <c r="B117" i="18"/>
  <c r="K116" i="18"/>
  <c r="J116" i="18"/>
  <c r="I116" i="18"/>
  <c r="H116" i="18"/>
  <c r="G116" i="18"/>
  <c r="F116" i="18"/>
  <c r="E116" i="18"/>
  <c r="D116" i="18"/>
  <c r="C116" i="18"/>
  <c r="B116" i="18"/>
  <c r="K115" i="18"/>
  <c r="J115" i="18"/>
  <c r="I115" i="18"/>
  <c r="H115" i="18"/>
  <c r="G115" i="18"/>
  <c r="F115" i="18"/>
  <c r="E115" i="18"/>
  <c r="D115" i="18"/>
  <c r="C115" i="18"/>
  <c r="B115" i="18"/>
  <c r="K114" i="18"/>
  <c r="J114" i="18"/>
  <c r="I114" i="18"/>
  <c r="H114" i="18"/>
  <c r="G114" i="18"/>
  <c r="F114" i="18"/>
  <c r="E114" i="18"/>
  <c r="D114" i="18"/>
  <c r="C114" i="18"/>
  <c r="B114" i="18"/>
  <c r="K113" i="18"/>
  <c r="J113" i="18"/>
  <c r="I113" i="18"/>
  <c r="H113" i="18"/>
  <c r="G113" i="18"/>
  <c r="F113" i="18"/>
  <c r="E113" i="18"/>
  <c r="D113" i="18"/>
  <c r="C113" i="18"/>
  <c r="B113" i="18"/>
  <c r="K112" i="18"/>
  <c r="J112" i="18"/>
  <c r="I112" i="18"/>
  <c r="H112" i="18"/>
  <c r="G112" i="18"/>
  <c r="F112" i="18"/>
  <c r="E112" i="18"/>
  <c r="D112" i="18"/>
  <c r="C112" i="18"/>
  <c r="B112" i="18"/>
  <c r="K111" i="18"/>
  <c r="J111" i="18"/>
  <c r="I111" i="18"/>
  <c r="H111" i="18"/>
  <c r="G111" i="18"/>
  <c r="F111" i="18"/>
  <c r="E111" i="18"/>
  <c r="D111" i="18"/>
  <c r="C111" i="18"/>
  <c r="B111" i="18"/>
  <c r="K110" i="18"/>
  <c r="J110" i="18"/>
  <c r="I110" i="18"/>
  <c r="H110" i="18"/>
  <c r="G110" i="18"/>
  <c r="F110" i="18"/>
  <c r="E110" i="18"/>
  <c r="D110" i="18"/>
  <c r="C110" i="18"/>
  <c r="B110" i="18"/>
  <c r="K109" i="18"/>
  <c r="J109" i="18"/>
  <c r="I109" i="18"/>
  <c r="H109" i="18"/>
  <c r="G109" i="18"/>
  <c r="F109" i="18"/>
  <c r="E109" i="18"/>
  <c r="D109" i="18"/>
  <c r="C109" i="18"/>
  <c r="B109" i="18"/>
  <c r="K108" i="18"/>
  <c r="J108" i="18"/>
  <c r="I108" i="18"/>
  <c r="H108" i="18"/>
  <c r="G108" i="18"/>
  <c r="F108" i="18"/>
  <c r="E108" i="18"/>
  <c r="D108" i="18"/>
  <c r="C108" i="18"/>
  <c r="B108" i="18"/>
  <c r="K107" i="18"/>
  <c r="J107" i="18"/>
  <c r="I107" i="18"/>
  <c r="H107" i="18"/>
  <c r="G107" i="18"/>
  <c r="F107" i="18"/>
  <c r="E107" i="18"/>
  <c r="D107" i="18"/>
  <c r="C107" i="18"/>
  <c r="B107" i="18"/>
  <c r="K106" i="18"/>
  <c r="J106" i="18"/>
  <c r="I106" i="18"/>
  <c r="H106" i="18"/>
  <c r="G106" i="18"/>
  <c r="F106" i="18"/>
  <c r="E106" i="18"/>
  <c r="D106" i="18"/>
  <c r="C106" i="18"/>
  <c r="B106" i="18"/>
  <c r="K105" i="18"/>
  <c r="J105" i="18"/>
  <c r="I105" i="18"/>
  <c r="H105" i="18"/>
  <c r="G105" i="18"/>
  <c r="F105" i="18"/>
  <c r="E105" i="18"/>
  <c r="D105" i="18"/>
  <c r="C105" i="18"/>
  <c r="B105" i="18"/>
  <c r="K104" i="18"/>
  <c r="J104" i="18"/>
  <c r="I104" i="18"/>
  <c r="H104" i="18"/>
  <c r="G104" i="18"/>
  <c r="F104" i="18"/>
  <c r="E104" i="18"/>
  <c r="D104" i="18"/>
  <c r="C104" i="18"/>
  <c r="B104" i="18"/>
  <c r="K103" i="18"/>
  <c r="J103" i="18"/>
  <c r="I103" i="18"/>
  <c r="H103" i="18"/>
  <c r="G103" i="18"/>
  <c r="F103" i="18"/>
  <c r="E103" i="18"/>
  <c r="D103" i="18"/>
  <c r="C103" i="18"/>
  <c r="B103" i="18"/>
  <c r="K102" i="18"/>
  <c r="J102" i="18"/>
  <c r="I102" i="18"/>
  <c r="H102" i="18"/>
  <c r="G102" i="18"/>
  <c r="F102" i="18"/>
  <c r="E102" i="18"/>
  <c r="D102" i="18"/>
  <c r="C102" i="18"/>
  <c r="B102" i="18"/>
  <c r="K101" i="18"/>
  <c r="J101" i="18"/>
  <c r="I101" i="18"/>
  <c r="H101" i="18"/>
  <c r="G101" i="18"/>
  <c r="F101" i="18"/>
  <c r="E101" i="18"/>
  <c r="D101" i="18"/>
  <c r="C101" i="18"/>
  <c r="B101" i="18"/>
  <c r="K100" i="18"/>
  <c r="J100" i="18"/>
  <c r="I100" i="18"/>
  <c r="H100" i="18"/>
  <c r="G100" i="18"/>
  <c r="F100" i="18"/>
  <c r="E100" i="18"/>
  <c r="D100" i="18"/>
  <c r="C100" i="18"/>
  <c r="B100" i="18"/>
  <c r="K99" i="18"/>
  <c r="J99" i="18"/>
  <c r="I99" i="18"/>
  <c r="H99" i="18"/>
  <c r="G99" i="18"/>
  <c r="F99" i="18"/>
  <c r="E99" i="18"/>
  <c r="D99" i="18"/>
  <c r="C99" i="18"/>
  <c r="B99" i="18"/>
  <c r="K98" i="18"/>
  <c r="J98" i="18"/>
  <c r="I98" i="18"/>
  <c r="H98" i="18"/>
  <c r="G98" i="18"/>
  <c r="F98" i="18"/>
  <c r="E98" i="18"/>
  <c r="D98" i="18"/>
  <c r="C98" i="18"/>
  <c r="B98" i="18"/>
  <c r="K97" i="18"/>
  <c r="J97" i="18"/>
  <c r="I97" i="18"/>
  <c r="H97" i="18"/>
  <c r="G97" i="18"/>
  <c r="F97" i="18"/>
  <c r="E97" i="18"/>
  <c r="D97" i="18"/>
  <c r="C97" i="18"/>
  <c r="B97" i="18"/>
  <c r="K96" i="18"/>
  <c r="J96" i="18"/>
  <c r="I96" i="18"/>
  <c r="H96" i="18"/>
  <c r="G96" i="18"/>
  <c r="F96" i="18"/>
  <c r="E96" i="18"/>
  <c r="D96" i="18"/>
  <c r="C96" i="18"/>
  <c r="B96" i="18"/>
  <c r="K95" i="18"/>
  <c r="J95" i="18"/>
  <c r="I95" i="18"/>
  <c r="H95" i="18"/>
  <c r="G95" i="18"/>
  <c r="F95" i="18"/>
  <c r="E95" i="18"/>
  <c r="D95" i="18"/>
  <c r="C95" i="18"/>
  <c r="B95" i="18"/>
  <c r="K94" i="18"/>
  <c r="J94" i="18"/>
  <c r="I94" i="18"/>
  <c r="H94" i="18"/>
  <c r="G94" i="18"/>
  <c r="F94" i="18"/>
  <c r="E94" i="18"/>
  <c r="D94" i="18"/>
  <c r="C94" i="18"/>
  <c r="B94" i="18"/>
  <c r="K93" i="18"/>
  <c r="J93" i="18"/>
  <c r="I93" i="18"/>
  <c r="H93" i="18"/>
  <c r="G93" i="18"/>
  <c r="F93" i="18"/>
  <c r="E93" i="18"/>
  <c r="D93" i="18"/>
  <c r="C93" i="18"/>
  <c r="B93" i="18"/>
  <c r="K92" i="18"/>
  <c r="J92" i="18"/>
  <c r="I92" i="18"/>
  <c r="H92" i="18"/>
  <c r="G92" i="18"/>
  <c r="F92" i="18"/>
  <c r="E92" i="18"/>
  <c r="D92" i="18"/>
  <c r="C92" i="18"/>
  <c r="B92" i="18"/>
  <c r="K91" i="18"/>
  <c r="J91" i="18"/>
  <c r="I91" i="18"/>
  <c r="H91" i="18"/>
  <c r="G91" i="18"/>
  <c r="F91" i="18"/>
  <c r="E91" i="18"/>
  <c r="D91" i="18"/>
  <c r="C91" i="18"/>
  <c r="B91" i="18"/>
  <c r="K90" i="18"/>
  <c r="J90" i="18"/>
  <c r="I90" i="18"/>
  <c r="H90" i="18"/>
  <c r="G90" i="18"/>
  <c r="F90" i="18"/>
  <c r="E90" i="18"/>
  <c r="D90" i="18"/>
  <c r="C90" i="18"/>
  <c r="B90" i="18"/>
  <c r="K89" i="18"/>
  <c r="J89" i="18"/>
  <c r="I89" i="18"/>
  <c r="H89" i="18"/>
  <c r="G89" i="18"/>
  <c r="F89" i="18"/>
  <c r="E89" i="18"/>
  <c r="D89" i="18"/>
  <c r="C89" i="18"/>
  <c r="B89" i="18"/>
  <c r="K88" i="18"/>
  <c r="J88" i="18"/>
  <c r="I88" i="18"/>
  <c r="H88" i="18"/>
  <c r="G88" i="18"/>
  <c r="F88" i="18"/>
  <c r="E88" i="18"/>
  <c r="D88" i="18"/>
  <c r="C88" i="18"/>
  <c r="B88" i="18"/>
  <c r="K87" i="18"/>
  <c r="J87" i="18"/>
  <c r="I87" i="18"/>
  <c r="H87" i="18"/>
  <c r="G87" i="18"/>
  <c r="F87" i="18"/>
  <c r="E87" i="18"/>
  <c r="D87" i="18"/>
  <c r="C87" i="18"/>
  <c r="B87" i="18"/>
  <c r="K86" i="18"/>
  <c r="J86" i="18"/>
  <c r="I86" i="18"/>
  <c r="H86" i="18"/>
  <c r="G86" i="18"/>
  <c r="F86" i="18"/>
  <c r="E86" i="18"/>
  <c r="D86" i="18"/>
  <c r="C86" i="18"/>
  <c r="B86" i="18"/>
  <c r="K85" i="18"/>
  <c r="J85" i="18"/>
  <c r="I85" i="18"/>
  <c r="H85" i="18"/>
  <c r="G85" i="18"/>
  <c r="F85" i="18"/>
  <c r="E85" i="18"/>
  <c r="D85" i="18"/>
  <c r="C85" i="18"/>
  <c r="B85" i="18"/>
  <c r="K84" i="18"/>
  <c r="J84" i="18"/>
  <c r="I84" i="18"/>
  <c r="H84" i="18"/>
  <c r="G84" i="18"/>
  <c r="F84" i="18"/>
  <c r="E84" i="18"/>
  <c r="D84" i="18"/>
  <c r="C84" i="18"/>
  <c r="B84" i="18"/>
  <c r="K83" i="18"/>
  <c r="J83" i="18"/>
  <c r="I83" i="18"/>
  <c r="H83" i="18"/>
  <c r="G83" i="18"/>
  <c r="F83" i="18"/>
  <c r="E83" i="18"/>
  <c r="D83" i="18"/>
  <c r="C83" i="18"/>
  <c r="B83" i="18"/>
  <c r="K82" i="18"/>
  <c r="J82" i="18"/>
  <c r="I82" i="18"/>
  <c r="H82" i="18"/>
  <c r="G82" i="18"/>
  <c r="F82" i="18"/>
  <c r="E82" i="18"/>
  <c r="D82" i="18"/>
  <c r="C82" i="18"/>
  <c r="B82" i="18"/>
  <c r="K81" i="18"/>
  <c r="J81" i="18"/>
  <c r="I81" i="18"/>
  <c r="H81" i="18"/>
  <c r="G81" i="18"/>
  <c r="F81" i="18"/>
  <c r="E81" i="18"/>
  <c r="D81" i="18"/>
  <c r="C81" i="18"/>
  <c r="B81" i="18"/>
  <c r="K80" i="18"/>
  <c r="J80" i="18"/>
  <c r="I80" i="18"/>
  <c r="H80" i="18"/>
  <c r="G80" i="18"/>
  <c r="F80" i="18"/>
  <c r="E80" i="18"/>
  <c r="D80" i="18"/>
  <c r="C80" i="18"/>
  <c r="B80" i="18"/>
  <c r="K79" i="18"/>
  <c r="J79" i="18"/>
  <c r="I79" i="18"/>
  <c r="H79" i="18"/>
  <c r="G79" i="18"/>
  <c r="F79" i="18"/>
  <c r="E79" i="18"/>
  <c r="D79" i="18"/>
  <c r="C79" i="18"/>
  <c r="B79" i="18"/>
  <c r="K78" i="18"/>
  <c r="J78" i="18"/>
  <c r="I78" i="18"/>
  <c r="H78" i="18"/>
  <c r="G78" i="18"/>
  <c r="F78" i="18"/>
  <c r="E78" i="18"/>
  <c r="D78" i="18"/>
  <c r="C78" i="18"/>
  <c r="B78" i="18"/>
  <c r="K77" i="18"/>
  <c r="J77" i="18"/>
  <c r="I77" i="18"/>
  <c r="H77" i="18"/>
  <c r="G77" i="18"/>
  <c r="F77" i="18"/>
  <c r="E77" i="18"/>
  <c r="D77" i="18"/>
  <c r="C77" i="18"/>
  <c r="B77" i="18"/>
  <c r="K76" i="18"/>
  <c r="J76" i="18"/>
  <c r="I76" i="18"/>
  <c r="H76" i="18"/>
  <c r="G76" i="18"/>
  <c r="F76" i="18"/>
  <c r="E76" i="18"/>
  <c r="D76" i="18"/>
  <c r="C76" i="18"/>
  <c r="B76" i="18"/>
  <c r="K75" i="18"/>
  <c r="J75" i="18"/>
  <c r="I75" i="18"/>
  <c r="H75" i="18"/>
  <c r="G75" i="18"/>
  <c r="F75" i="18"/>
  <c r="E75" i="18"/>
  <c r="D75" i="18"/>
  <c r="C75" i="18"/>
  <c r="B75" i="18"/>
  <c r="K74" i="18"/>
  <c r="J74" i="18"/>
  <c r="I74" i="18"/>
  <c r="H74" i="18"/>
  <c r="G74" i="18"/>
  <c r="F74" i="18"/>
  <c r="E74" i="18"/>
  <c r="D74" i="18"/>
  <c r="C74" i="18"/>
  <c r="B74" i="18"/>
  <c r="K73" i="18"/>
  <c r="J73" i="18"/>
  <c r="I73" i="18"/>
  <c r="H73" i="18"/>
  <c r="G73" i="18"/>
  <c r="F73" i="18"/>
  <c r="E73" i="18"/>
  <c r="D73" i="18"/>
  <c r="C73" i="18"/>
  <c r="B73" i="18"/>
  <c r="K72" i="18"/>
  <c r="J72" i="18"/>
  <c r="I72" i="18"/>
  <c r="H72" i="18"/>
  <c r="G72" i="18"/>
  <c r="F72" i="18"/>
  <c r="E72" i="18"/>
  <c r="D72" i="18"/>
  <c r="C72" i="18"/>
  <c r="B72" i="18"/>
  <c r="K71" i="18"/>
  <c r="J71" i="18"/>
  <c r="I71" i="18"/>
  <c r="H71" i="18"/>
  <c r="G71" i="18"/>
  <c r="F71" i="18"/>
  <c r="E71" i="18"/>
  <c r="D71" i="18"/>
  <c r="C71" i="18"/>
  <c r="B71" i="18"/>
  <c r="K70" i="18"/>
  <c r="J70" i="18"/>
  <c r="I70" i="18"/>
  <c r="H70" i="18"/>
  <c r="G70" i="18"/>
  <c r="F70" i="18"/>
  <c r="E70" i="18"/>
  <c r="D70" i="18"/>
  <c r="C70" i="18"/>
  <c r="B70" i="18"/>
  <c r="K69" i="18"/>
  <c r="J69" i="18"/>
  <c r="I69" i="18"/>
  <c r="H69" i="18"/>
  <c r="G69" i="18"/>
  <c r="F69" i="18"/>
  <c r="E69" i="18"/>
  <c r="D69" i="18"/>
  <c r="C69" i="18"/>
  <c r="B69" i="18"/>
  <c r="K68" i="18"/>
  <c r="J68" i="18"/>
  <c r="I68" i="18"/>
  <c r="H68" i="18"/>
  <c r="G68" i="18"/>
  <c r="F68" i="18"/>
  <c r="E68" i="18"/>
  <c r="D68" i="18"/>
  <c r="C68" i="18"/>
  <c r="B68" i="18"/>
  <c r="K67" i="18"/>
  <c r="J67" i="18"/>
  <c r="I67" i="18"/>
  <c r="H67" i="18"/>
  <c r="G67" i="18"/>
  <c r="F67" i="18"/>
  <c r="E67" i="18"/>
  <c r="D67" i="18"/>
  <c r="C67" i="18"/>
  <c r="B67" i="18"/>
  <c r="K66" i="18"/>
  <c r="J66" i="18"/>
  <c r="I66" i="18"/>
  <c r="H66" i="18"/>
  <c r="G66" i="18"/>
  <c r="F66" i="18"/>
  <c r="E66" i="18"/>
  <c r="D66" i="18"/>
  <c r="C66" i="18"/>
  <c r="B66" i="18"/>
  <c r="K65" i="18"/>
  <c r="J65" i="18"/>
  <c r="I65" i="18"/>
  <c r="H65" i="18"/>
  <c r="G65" i="18"/>
  <c r="F65" i="18"/>
  <c r="E65" i="18"/>
  <c r="D65" i="18"/>
  <c r="C65" i="18"/>
  <c r="B65" i="18"/>
  <c r="K64" i="18"/>
  <c r="J64" i="18"/>
  <c r="I64" i="18"/>
  <c r="H64" i="18"/>
  <c r="G64" i="18"/>
  <c r="F64" i="18"/>
  <c r="E64" i="18"/>
  <c r="D64" i="18"/>
  <c r="C64" i="18"/>
  <c r="B64" i="18"/>
  <c r="K63" i="18"/>
  <c r="J63" i="18"/>
  <c r="I63" i="18"/>
  <c r="H63" i="18"/>
  <c r="G63" i="18"/>
  <c r="F63" i="18"/>
  <c r="E63" i="18"/>
  <c r="D63" i="18"/>
  <c r="C63" i="18"/>
  <c r="B63" i="18"/>
  <c r="K62" i="18"/>
  <c r="J62" i="18"/>
  <c r="I62" i="18"/>
  <c r="H62" i="18"/>
  <c r="G62" i="18"/>
  <c r="F62" i="18"/>
  <c r="E62" i="18"/>
  <c r="D62" i="18"/>
  <c r="C62" i="18"/>
  <c r="B62" i="18"/>
  <c r="K61" i="18"/>
  <c r="J61" i="18"/>
  <c r="I61" i="18"/>
  <c r="H61" i="18"/>
  <c r="G61" i="18"/>
  <c r="F61" i="18"/>
  <c r="E61" i="18"/>
  <c r="D61" i="18"/>
  <c r="C61" i="18"/>
  <c r="B61" i="18"/>
  <c r="K60" i="18"/>
  <c r="J60" i="18"/>
  <c r="I60" i="18"/>
  <c r="H60" i="18"/>
  <c r="G60" i="18"/>
  <c r="F60" i="18"/>
  <c r="E60" i="18"/>
  <c r="D60" i="18"/>
  <c r="C60" i="18"/>
  <c r="B60" i="18"/>
  <c r="K59" i="18"/>
  <c r="J59" i="18"/>
  <c r="I59" i="18"/>
  <c r="H59" i="18"/>
  <c r="G59" i="18"/>
  <c r="F59" i="18"/>
  <c r="E59" i="18"/>
  <c r="D59" i="18"/>
  <c r="C59" i="18"/>
  <c r="B59" i="18"/>
  <c r="K58" i="18"/>
  <c r="J58" i="18"/>
  <c r="I58" i="18"/>
  <c r="H58" i="18"/>
  <c r="G58" i="18"/>
  <c r="F58" i="18"/>
  <c r="E58" i="18"/>
  <c r="D58" i="18"/>
  <c r="C58" i="18"/>
  <c r="B58" i="18"/>
  <c r="K57" i="18"/>
  <c r="J57" i="18"/>
  <c r="I57" i="18"/>
  <c r="H57" i="18"/>
  <c r="G57" i="18"/>
  <c r="F57" i="18"/>
  <c r="E57" i="18"/>
  <c r="D57" i="18"/>
  <c r="C57" i="18"/>
  <c r="B57" i="18"/>
  <c r="K56" i="18"/>
  <c r="J56" i="18"/>
  <c r="I56" i="18"/>
  <c r="H56" i="18"/>
  <c r="G56" i="18"/>
  <c r="F56" i="18"/>
  <c r="E56" i="18"/>
  <c r="D56" i="18"/>
  <c r="C56" i="18"/>
  <c r="B56" i="18"/>
  <c r="K55" i="18"/>
  <c r="J55" i="18"/>
  <c r="I55" i="18"/>
  <c r="H55" i="18"/>
  <c r="G55" i="18"/>
  <c r="F55" i="18"/>
  <c r="E55" i="18"/>
  <c r="D55" i="18"/>
  <c r="C55" i="18"/>
  <c r="B55" i="18"/>
  <c r="K54" i="18"/>
  <c r="J54" i="18"/>
  <c r="I54" i="18"/>
  <c r="H54" i="18"/>
  <c r="G54" i="18"/>
  <c r="F54" i="18"/>
  <c r="E54" i="18"/>
  <c r="D54" i="18"/>
  <c r="C54" i="18"/>
  <c r="B54" i="18"/>
  <c r="K53" i="18"/>
  <c r="J53" i="18"/>
  <c r="I53" i="18"/>
  <c r="H53" i="18"/>
  <c r="G53" i="18"/>
  <c r="F53" i="18"/>
  <c r="E53" i="18"/>
  <c r="D53" i="18"/>
  <c r="C53" i="18"/>
  <c r="B53" i="18"/>
  <c r="K52" i="18"/>
  <c r="J52" i="18"/>
  <c r="I52" i="18"/>
  <c r="H52" i="18"/>
  <c r="G52" i="18"/>
  <c r="F52" i="18"/>
  <c r="E52" i="18"/>
  <c r="D52" i="18"/>
  <c r="C52" i="18"/>
  <c r="B52" i="18"/>
  <c r="K51" i="18"/>
  <c r="J51" i="18"/>
  <c r="I51" i="18"/>
  <c r="H51" i="18"/>
  <c r="G51" i="18"/>
  <c r="F51" i="18"/>
  <c r="E51" i="18"/>
  <c r="D51" i="18"/>
  <c r="C51" i="18"/>
  <c r="B51" i="18"/>
  <c r="K50" i="18"/>
  <c r="J50" i="18"/>
  <c r="I50" i="18"/>
  <c r="H50" i="18"/>
  <c r="G50" i="18"/>
  <c r="F50" i="18"/>
  <c r="E50" i="18"/>
  <c r="D50" i="18"/>
  <c r="C50" i="18"/>
  <c r="B50" i="18"/>
  <c r="K49" i="18"/>
  <c r="J49" i="18"/>
  <c r="I49" i="18"/>
  <c r="H49" i="18"/>
  <c r="G49" i="18"/>
  <c r="F49" i="18"/>
  <c r="E49" i="18"/>
  <c r="D49" i="18"/>
  <c r="C49" i="18"/>
  <c r="B49" i="18"/>
  <c r="K48" i="18"/>
  <c r="J48" i="18"/>
  <c r="I48" i="18"/>
  <c r="H48" i="18"/>
  <c r="G48" i="18"/>
  <c r="F48" i="18"/>
  <c r="E48" i="18"/>
  <c r="D48" i="18"/>
  <c r="C48" i="18"/>
  <c r="B48" i="18"/>
  <c r="K47" i="18"/>
  <c r="J47" i="18"/>
  <c r="I47" i="18"/>
  <c r="H47" i="18"/>
  <c r="G47" i="18"/>
  <c r="F47" i="18"/>
  <c r="E47" i="18"/>
  <c r="D47" i="18"/>
  <c r="C47" i="18"/>
  <c r="B47" i="18"/>
  <c r="K46" i="18"/>
  <c r="J46" i="18"/>
  <c r="I46" i="18"/>
  <c r="H46" i="18"/>
  <c r="G46" i="18"/>
  <c r="F46" i="18"/>
  <c r="E46" i="18"/>
  <c r="D46" i="18"/>
  <c r="C46" i="18"/>
  <c r="B46" i="18"/>
  <c r="K45" i="18"/>
  <c r="J45" i="18"/>
  <c r="I45" i="18"/>
  <c r="H45" i="18"/>
  <c r="G45" i="18"/>
  <c r="F45" i="18"/>
  <c r="E45" i="18"/>
  <c r="D45" i="18"/>
  <c r="C45" i="18"/>
  <c r="B45" i="18"/>
  <c r="K44" i="18"/>
  <c r="J44" i="18"/>
  <c r="I44" i="18"/>
  <c r="H44" i="18"/>
  <c r="G44" i="18"/>
  <c r="F44" i="18"/>
  <c r="E44" i="18"/>
  <c r="D44" i="18"/>
  <c r="C44" i="18"/>
  <c r="B44" i="18"/>
  <c r="K43" i="18"/>
  <c r="J43" i="18"/>
  <c r="I43" i="18"/>
  <c r="H43" i="18"/>
  <c r="G43" i="18"/>
  <c r="F43" i="18"/>
  <c r="E43" i="18"/>
  <c r="D43" i="18"/>
  <c r="C43" i="18"/>
  <c r="B43" i="18"/>
  <c r="K42" i="18"/>
  <c r="J42" i="18"/>
  <c r="I42" i="18"/>
  <c r="H42" i="18"/>
  <c r="G42" i="18"/>
  <c r="F42" i="18"/>
  <c r="E42" i="18"/>
  <c r="D42" i="18"/>
  <c r="C42" i="18"/>
  <c r="B42" i="18"/>
  <c r="K41" i="18"/>
  <c r="J41" i="18"/>
  <c r="I41" i="18"/>
  <c r="H41" i="18"/>
  <c r="G41" i="18"/>
  <c r="F41" i="18"/>
  <c r="E41" i="18"/>
  <c r="D41" i="18"/>
  <c r="C41" i="18"/>
  <c r="B41" i="18"/>
  <c r="K40" i="18"/>
  <c r="J40" i="18"/>
  <c r="I40" i="18"/>
  <c r="H40" i="18"/>
  <c r="G40" i="18"/>
  <c r="F40" i="18"/>
  <c r="E40" i="18"/>
  <c r="D40" i="18"/>
  <c r="C40" i="18"/>
  <c r="B40" i="18"/>
  <c r="K39" i="18"/>
  <c r="J39" i="18"/>
  <c r="I39" i="18"/>
  <c r="H39" i="18"/>
  <c r="G39" i="18"/>
  <c r="F39" i="18"/>
  <c r="E39" i="18"/>
  <c r="D39" i="18"/>
  <c r="C39" i="18"/>
  <c r="B39" i="18"/>
  <c r="K38" i="18"/>
  <c r="J38" i="18"/>
  <c r="I38" i="18"/>
  <c r="H38" i="18"/>
  <c r="G38" i="18"/>
  <c r="F38" i="18"/>
  <c r="E38" i="18"/>
  <c r="D38" i="18"/>
  <c r="C38" i="18"/>
  <c r="B38" i="18"/>
  <c r="K37" i="18"/>
  <c r="J37" i="18"/>
  <c r="I37" i="18"/>
  <c r="H37" i="18"/>
  <c r="G37" i="18"/>
  <c r="F37" i="18"/>
  <c r="E37" i="18"/>
  <c r="D37" i="18"/>
  <c r="C37" i="18"/>
  <c r="B37" i="18"/>
  <c r="K36" i="18"/>
  <c r="J36" i="18"/>
  <c r="I36" i="18"/>
  <c r="H36" i="18"/>
  <c r="G36" i="18"/>
  <c r="F36" i="18"/>
  <c r="E36" i="18"/>
  <c r="D36" i="18"/>
  <c r="C36" i="18"/>
  <c r="B36" i="18"/>
  <c r="K35" i="18"/>
  <c r="J35" i="18"/>
  <c r="I35" i="18"/>
  <c r="H35" i="18"/>
  <c r="G35" i="18"/>
  <c r="F35" i="18"/>
  <c r="E35" i="18"/>
  <c r="D35" i="18"/>
  <c r="C35" i="18"/>
  <c r="B35" i="18"/>
  <c r="K34" i="18"/>
  <c r="J34" i="18"/>
  <c r="I34" i="18"/>
  <c r="H34" i="18"/>
  <c r="G34" i="18"/>
  <c r="F34" i="18"/>
  <c r="E34" i="18"/>
  <c r="D34" i="18"/>
  <c r="C34" i="18"/>
  <c r="B34" i="18"/>
  <c r="K33" i="18"/>
  <c r="J33" i="18"/>
  <c r="I33" i="18"/>
  <c r="H33" i="18"/>
  <c r="G33" i="18"/>
  <c r="F33" i="18"/>
  <c r="E33" i="18"/>
  <c r="D33" i="18"/>
  <c r="C33" i="18"/>
  <c r="B33" i="18"/>
  <c r="K32" i="18"/>
  <c r="J32" i="18"/>
  <c r="I32" i="18"/>
  <c r="H32" i="18"/>
  <c r="G32" i="18"/>
  <c r="F32" i="18"/>
  <c r="E32" i="18"/>
  <c r="D32" i="18"/>
  <c r="C32" i="18"/>
  <c r="B32" i="18"/>
  <c r="K31" i="18"/>
  <c r="J31" i="18"/>
  <c r="I31" i="18"/>
  <c r="H31" i="18"/>
  <c r="G31" i="18"/>
  <c r="F31" i="18"/>
  <c r="E31" i="18"/>
  <c r="D31" i="18"/>
  <c r="C31" i="18"/>
  <c r="B31" i="18"/>
  <c r="K30" i="18"/>
  <c r="J30" i="18"/>
  <c r="I30" i="18"/>
  <c r="H30" i="18"/>
  <c r="G30" i="18"/>
  <c r="F30" i="18"/>
  <c r="E30" i="18"/>
  <c r="D30" i="18"/>
  <c r="C30" i="18"/>
  <c r="B30" i="18"/>
  <c r="K29" i="18"/>
  <c r="J29" i="18"/>
  <c r="I29" i="18"/>
  <c r="H29" i="18"/>
  <c r="G29" i="18"/>
  <c r="F29" i="18"/>
  <c r="E29" i="18"/>
  <c r="D29" i="18"/>
  <c r="C29" i="18"/>
  <c r="B29" i="18"/>
  <c r="K28" i="18"/>
  <c r="J28" i="18"/>
  <c r="I28" i="18"/>
  <c r="H28" i="18"/>
  <c r="G28" i="18"/>
  <c r="F28" i="18"/>
  <c r="E28" i="18"/>
  <c r="D28" i="18"/>
  <c r="C28" i="18"/>
  <c r="B28" i="18"/>
  <c r="K27" i="18"/>
  <c r="J27" i="18"/>
  <c r="I27" i="18"/>
  <c r="H27" i="18"/>
  <c r="G27" i="18"/>
  <c r="F27" i="18"/>
  <c r="E27" i="18"/>
  <c r="D27" i="18"/>
  <c r="C27" i="18"/>
  <c r="B27" i="18"/>
  <c r="K26" i="18"/>
  <c r="J26" i="18"/>
  <c r="I26" i="18"/>
  <c r="H26" i="18"/>
  <c r="G26" i="18"/>
  <c r="F26" i="18"/>
  <c r="E26" i="18"/>
  <c r="D26" i="18"/>
  <c r="C26" i="18"/>
  <c r="B26" i="18"/>
  <c r="K25" i="18"/>
  <c r="J25" i="18"/>
  <c r="I25" i="18"/>
  <c r="H25" i="18"/>
  <c r="G25" i="18"/>
  <c r="F25" i="18"/>
  <c r="E25" i="18"/>
  <c r="D25" i="18"/>
  <c r="C25" i="18"/>
  <c r="B25" i="18"/>
  <c r="K24" i="18"/>
  <c r="J24" i="18"/>
  <c r="I24" i="18"/>
  <c r="H24" i="18"/>
  <c r="G24" i="18"/>
  <c r="F24" i="18"/>
  <c r="E24" i="18"/>
  <c r="D24" i="18"/>
  <c r="C24" i="18"/>
  <c r="B24" i="18"/>
  <c r="K23" i="18"/>
  <c r="J23" i="18"/>
  <c r="I23" i="18"/>
  <c r="H23" i="18"/>
  <c r="G23" i="18"/>
  <c r="F23" i="18"/>
  <c r="E23" i="18"/>
  <c r="D23" i="18"/>
  <c r="C23" i="18"/>
  <c r="B23" i="18"/>
  <c r="K22" i="18"/>
  <c r="J22" i="18"/>
  <c r="I22" i="18"/>
  <c r="H22" i="18"/>
  <c r="G22" i="18"/>
  <c r="F22" i="18"/>
  <c r="E22" i="18"/>
  <c r="D22" i="18"/>
  <c r="C22" i="18"/>
  <c r="B22" i="18"/>
  <c r="K21" i="18"/>
  <c r="J21" i="18"/>
  <c r="I21" i="18"/>
  <c r="H21" i="18"/>
  <c r="G21" i="18"/>
  <c r="F21" i="18"/>
  <c r="E21" i="18"/>
  <c r="D21" i="18"/>
  <c r="C21" i="18"/>
  <c r="B21" i="18"/>
  <c r="K20" i="18"/>
  <c r="J20" i="18"/>
  <c r="I20" i="18"/>
  <c r="H20" i="18"/>
  <c r="G20" i="18"/>
  <c r="F20" i="18"/>
  <c r="E20" i="18"/>
  <c r="D20" i="18"/>
  <c r="C20" i="18"/>
  <c r="B20" i="18"/>
  <c r="K19" i="18"/>
  <c r="J19" i="18"/>
  <c r="I19" i="18"/>
  <c r="H19" i="18"/>
  <c r="G19" i="18"/>
  <c r="F19" i="18"/>
  <c r="E19" i="18"/>
  <c r="D19" i="18"/>
  <c r="C19" i="18"/>
  <c r="B19" i="18"/>
  <c r="K18" i="18"/>
  <c r="J18" i="18"/>
  <c r="I18" i="18"/>
  <c r="H18" i="18"/>
  <c r="G18" i="18"/>
  <c r="F18" i="18"/>
  <c r="E18" i="18"/>
  <c r="D18" i="18"/>
  <c r="C18" i="18"/>
  <c r="B18" i="18"/>
  <c r="K17" i="18"/>
  <c r="J17" i="18"/>
  <c r="I17" i="18"/>
  <c r="H17" i="18"/>
  <c r="G17" i="18"/>
  <c r="F17" i="18"/>
  <c r="E17" i="18"/>
  <c r="D17" i="18"/>
  <c r="C17" i="18"/>
  <c r="B17" i="18"/>
  <c r="K16" i="18"/>
  <c r="J16" i="18"/>
  <c r="I16" i="18"/>
  <c r="H16" i="18"/>
  <c r="G16" i="18"/>
  <c r="F16" i="18"/>
  <c r="E16" i="18"/>
  <c r="D16" i="18"/>
  <c r="C16" i="18"/>
  <c r="B16" i="18"/>
  <c r="K15" i="18"/>
  <c r="J15" i="18"/>
  <c r="I15" i="18"/>
  <c r="H15" i="18"/>
  <c r="G15" i="18"/>
  <c r="F15" i="18"/>
  <c r="E15" i="18"/>
  <c r="D15" i="18"/>
  <c r="C15" i="18"/>
  <c r="B15" i="18"/>
  <c r="K14" i="18"/>
  <c r="J14" i="18"/>
  <c r="I14" i="18"/>
  <c r="H14" i="18"/>
  <c r="G14" i="18"/>
  <c r="F14" i="18"/>
  <c r="E14" i="18"/>
  <c r="D14" i="18"/>
  <c r="C14" i="18"/>
  <c r="B14" i="18"/>
  <c r="K13" i="18"/>
  <c r="J13" i="18"/>
  <c r="I13" i="18"/>
  <c r="H13" i="18"/>
  <c r="G13" i="18"/>
  <c r="F13" i="18"/>
  <c r="E13" i="18"/>
  <c r="D13" i="18"/>
  <c r="C13" i="18"/>
  <c r="B13" i="18"/>
  <c r="K12" i="18"/>
  <c r="J12" i="18"/>
  <c r="I12" i="18"/>
  <c r="H12" i="18"/>
  <c r="G12" i="18"/>
  <c r="F12" i="18"/>
  <c r="E12" i="18"/>
  <c r="D12" i="18"/>
  <c r="C12" i="18"/>
  <c r="B12" i="18"/>
  <c r="K11" i="18"/>
  <c r="J11" i="18"/>
  <c r="I11" i="18"/>
  <c r="H11" i="18"/>
  <c r="G11" i="18"/>
  <c r="F11" i="18"/>
  <c r="E11" i="18"/>
  <c r="D11" i="18"/>
  <c r="C11" i="18"/>
  <c r="B11" i="18"/>
  <c r="A4" i="18"/>
  <c r="K135" i="19"/>
  <c r="J135" i="19"/>
  <c r="I135" i="19"/>
  <c r="H135" i="19"/>
  <c r="G135" i="19"/>
  <c r="F135" i="19"/>
  <c r="E135" i="19"/>
  <c r="D135" i="19"/>
  <c r="C135" i="19"/>
  <c r="B135" i="19"/>
  <c r="K134" i="19"/>
  <c r="J134" i="19"/>
  <c r="I134" i="19"/>
  <c r="H134" i="19"/>
  <c r="G134" i="19"/>
  <c r="F134" i="19"/>
  <c r="E134" i="19"/>
  <c r="D134" i="19"/>
  <c r="C134" i="19"/>
  <c r="B134" i="19"/>
  <c r="K133" i="19"/>
  <c r="J133" i="19"/>
  <c r="I133" i="19"/>
  <c r="H133" i="19"/>
  <c r="G133" i="19"/>
  <c r="F133" i="19"/>
  <c r="E133" i="19"/>
  <c r="D133" i="19"/>
  <c r="C133" i="19"/>
  <c r="B133" i="19"/>
  <c r="K132" i="19"/>
  <c r="J132" i="19"/>
  <c r="I132" i="19"/>
  <c r="H132" i="19"/>
  <c r="G132" i="19"/>
  <c r="F132" i="19"/>
  <c r="E132" i="19"/>
  <c r="D132" i="19"/>
  <c r="C132" i="19"/>
  <c r="B132" i="19"/>
  <c r="K131" i="19"/>
  <c r="J131" i="19"/>
  <c r="I131" i="19"/>
  <c r="H131" i="19"/>
  <c r="G131" i="19"/>
  <c r="F131" i="19"/>
  <c r="E131" i="19"/>
  <c r="D131" i="19"/>
  <c r="C131" i="19"/>
  <c r="B131" i="19"/>
  <c r="K130" i="19"/>
  <c r="J130" i="19"/>
  <c r="I130" i="19"/>
  <c r="H130" i="19"/>
  <c r="G130" i="19"/>
  <c r="F130" i="19"/>
  <c r="E130" i="19"/>
  <c r="D130" i="19"/>
  <c r="C130" i="19"/>
  <c r="B130" i="19"/>
  <c r="K129" i="19"/>
  <c r="J129" i="19"/>
  <c r="I129" i="19"/>
  <c r="H129" i="19"/>
  <c r="G129" i="19"/>
  <c r="F129" i="19"/>
  <c r="E129" i="19"/>
  <c r="D129" i="19"/>
  <c r="C129" i="19"/>
  <c r="B129" i="19"/>
  <c r="K128" i="19"/>
  <c r="J128" i="19"/>
  <c r="I128" i="19"/>
  <c r="H128" i="19"/>
  <c r="G128" i="19"/>
  <c r="F128" i="19"/>
  <c r="E128" i="19"/>
  <c r="D128" i="19"/>
  <c r="C128" i="19"/>
  <c r="B128" i="19"/>
  <c r="K127" i="19"/>
  <c r="J127" i="19"/>
  <c r="I127" i="19"/>
  <c r="H127" i="19"/>
  <c r="G127" i="19"/>
  <c r="F127" i="19"/>
  <c r="E127" i="19"/>
  <c r="D127" i="19"/>
  <c r="C127" i="19"/>
  <c r="B127" i="19"/>
  <c r="K126" i="19"/>
  <c r="J126" i="19"/>
  <c r="I126" i="19"/>
  <c r="H126" i="19"/>
  <c r="G126" i="19"/>
  <c r="F126" i="19"/>
  <c r="E126" i="19"/>
  <c r="D126" i="19"/>
  <c r="C126" i="19"/>
  <c r="B126" i="19"/>
  <c r="K125" i="19"/>
  <c r="J125" i="19"/>
  <c r="I125" i="19"/>
  <c r="H125" i="19"/>
  <c r="G125" i="19"/>
  <c r="F125" i="19"/>
  <c r="E125" i="19"/>
  <c r="D125" i="19"/>
  <c r="C125" i="19"/>
  <c r="B125" i="19"/>
  <c r="K124" i="19"/>
  <c r="J124" i="19"/>
  <c r="I124" i="19"/>
  <c r="H124" i="19"/>
  <c r="G124" i="19"/>
  <c r="F124" i="19"/>
  <c r="E124" i="19"/>
  <c r="D124" i="19"/>
  <c r="C124" i="19"/>
  <c r="B124" i="19"/>
  <c r="K123" i="19"/>
  <c r="J123" i="19"/>
  <c r="I123" i="19"/>
  <c r="H123" i="19"/>
  <c r="G123" i="19"/>
  <c r="F123" i="19"/>
  <c r="E123" i="19"/>
  <c r="D123" i="19"/>
  <c r="C123" i="19"/>
  <c r="B123" i="19"/>
  <c r="K122" i="19"/>
  <c r="J122" i="19"/>
  <c r="I122" i="19"/>
  <c r="H122" i="19"/>
  <c r="G122" i="19"/>
  <c r="F122" i="19"/>
  <c r="E122" i="19"/>
  <c r="D122" i="19"/>
  <c r="C122" i="19"/>
  <c r="B122" i="19"/>
  <c r="K121" i="19"/>
  <c r="J121" i="19"/>
  <c r="I121" i="19"/>
  <c r="H121" i="19"/>
  <c r="G121" i="19"/>
  <c r="F121" i="19"/>
  <c r="E121" i="19"/>
  <c r="D121" i="19"/>
  <c r="C121" i="19"/>
  <c r="B121" i="19"/>
  <c r="K120" i="19"/>
  <c r="J120" i="19"/>
  <c r="I120" i="19"/>
  <c r="H120" i="19"/>
  <c r="G120" i="19"/>
  <c r="F120" i="19"/>
  <c r="E120" i="19"/>
  <c r="D120" i="19"/>
  <c r="C120" i="19"/>
  <c r="B120" i="19"/>
  <c r="K119" i="19"/>
  <c r="J119" i="19"/>
  <c r="I119" i="19"/>
  <c r="H119" i="19"/>
  <c r="G119" i="19"/>
  <c r="F119" i="19"/>
  <c r="E119" i="19"/>
  <c r="D119" i="19"/>
  <c r="C119" i="19"/>
  <c r="B119" i="19"/>
  <c r="K118" i="19"/>
  <c r="J118" i="19"/>
  <c r="I118" i="19"/>
  <c r="H118" i="19"/>
  <c r="G118" i="19"/>
  <c r="F118" i="19"/>
  <c r="E118" i="19"/>
  <c r="D118" i="19"/>
  <c r="C118" i="19"/>
  <c r="B118" i="19"/>
  <c r="K117" i="19"/>
  <c r="J117" i="19"/>
  <c r="I117" i="19"/>
  <c r="H117" i="19"/>
  <c r="G117" i="19"/>
  <c r="F117" i="19"/>
  <c r="E117" i="19"/>
  <c r="D117" i="19"/>
  <c r="C117" i="19"/>
  <c r="B117" i="19"/>
  <c r="K116" i="19"/>
  <c r="J116" i="19"/>
  <c r="I116" i="19"/>
  <c r="H116" i="19"/>
  <c r="G116" i="19"/>
  <c r="F116" i="19"/>
  <c r="E116" i="19"/>
  <c r="D116" i="19"/>
  <c r="C116" i="19"/>
  <c r="B116" i="19"/>
  <c r="K115" i="19"/>
  <c r="J115" i="19"/>
  <c r="I115" i="19"/>
  <c r="H115" i="19"/>
  <c r="G115" i="19"/>
  <c r="F115" i="19"/>
  <c r="E115" i="19"/>
  <c r="D115" i="19"/>
  <c r="C115" i="19"/>
  <c r="B115" i="19"/>
  <c r="K114" i="19"/>
  <c r="J114" i="19"/>
  <c r="I114" i="19"/>
  <c r="H114" i="19"/>
  <c r="G114" i="19"/>
  <c r="F114" i="19"/>
  <c r="E114" i="19"/>
  <c r="D114" i="19"/>
  <c r="C114" i="19"/>
  <c r="B114" i="19"/>
  <c r="K113" i="19"/>
  <c r="J113" i="19"/>
  <c r="I113" i="19"/>
  <c r="H113" i="19"/>
  <c r="G113" i="19"/>
  <c r="F113" i="19"/>
  <c r="E113" i="19"/>
  <c r="D113" i="19"/>
  <c r="C113" i="19"/>
  <c r="B113" i="19"/>
  <c r="K112" i="19"/>
  <c r="J112" i="19"/>
  <c r="I112" i="19"/>
  <c r="H112" i="19"/>
  <c r="G112" i="19"/>
  <c r="F112" i="19"/>
  <c r="E112" i="19"/>
  <c r="D112" i="19"/>
  <c r="C112" i="19"/>
  <c r="B112" i="19"/>
  <c r="K111" i="19"/>
  <c r="J111" i="19"/>
  <c r="I111" i="19"/>
  <c r="H111" i="19"/>
  <c r="G111" i="19"/>
  <c r="F111" i="19"/>
  <c r="E111" i="19"/>
  <c r="D111" i="19"/>
  <c r="C111" i="19"/>
  <c r="B111" i="19"/>
  <c r="K110" i="19"/>
  <c r="J110" i="19"/>
  <c r="I110" i="19"/>
  <c r="H110" i="19"/>
  <c r="G110" i="19"/>
  <c r="F110" i="19"/>
  <c r="E110" i="19"/>
  <c r="D110" i="19"/>
  <c r="C110" i="19"/>
  <c r="B110" i="19"/>
  <c r="K109" i="19"/>
  <c r="J109" i="19"/>
  <c r="I109" i="19"/>
  <c r="H109" i="19"/>
  <c r="G109" i="19"/>
  <c r="F109" i="19"/>
  <c r="E109" i="19"/>
  <c r="D109" i="19"/>
  <c r="C109" i="19"/>
  <c r="B109" i="19"/>
  <c r="K108" i="19"/>
  <c r="J108" i="19"/>
  <c r="I108" i="19"/>
  <c r="H108" i="19"/>
  <c r="G108" i="19"/>
  <c r="F108" i="19"/>
  <c r="E108" i="19"/>
  <c r="D108" i="19"/>
  <c r="C108" i="19"/>
  <c r="B108" i="19"/>
  <c r="K107" i="19"/>
  <c r="J107" i="19"/>
  <c r="I107" i="19"/>
  <c r="H107" i="19"/>
  <c r="G107" i="19"/>
  <c r="F107" i="19"/>
  <c r="E107" i="19"/>
  <c r="D107" i="19"/>
  <c r="C107" i="19"/>
  <c r="B107" i="19"/>
  <c r="K106" i="19"/>
  <c r="J106" i="19"/>
  <c r="I106" i="19"/>
  <c r="H106" i="19"/>
  <c r="G106" i="19"/>
  <c r="F106" i="19"/>
  <c r="E106" i="19"/>
  <c r="D106" i="19"/>
  <c r="C106" i="19"/>
  <c r="B106" i="19"/>
  <c r="K105" i="19"/>
  <c r="J105" i="19"/>
  <c r="I105" i="19"/>
  <c r="H105" i="19"/>
  <c r="G105" i="19"/>
  <c r="F105" i="19"/>
  <c r="E105" i="19"/>
  <c r="D105" i="19"/>
  <c r="C105" i="19"/>
  <c r="B105" i="19"/>
  <c r="K104" i="19"/>
  <c r="J104" i="19"/>
  <c r="I104" i="19"/>
  <c r="H104" i="19"/>
  <c r="G104" i="19"/>
  <c r="F104" i="19"/>
  <c r="E104" i="19"/>
  <c r="D104" i="19"/>
  <c r="C104" i="19"/>
  <c r="B104" i="19"/>
  <c r="K103" i="19"/>
  <c r="J103" i="19"/>
  <c r="I103" i="19"/>
  <c r="H103" i="19"/>
  <c r="G103" i="19"/>
  <c r="F103" i="19"/>
  <c r="E103" i="19"/>
  <c r="D103" i="19"/>
  <c r="C103" i="19"/>
  <c r="B103" i="19"/>
  <c r="K102" i="19"/>
  <c r="J102" i="19"/>
  <c r="I102" i="19"/>
  <c r="H102" i="19"/>
  <c r="G102" i="19"/>
  <c r="F102" i="19"/>
  <c r="E102" i="19"/>
  <c r="D102" i="19"/>
  <c r="C102" i="19"/>
  <c r="B102" i="19"/>
  <c r="K101" i="19"/>
  <c r="J101" i="19"/>
  <c r="I101" i="19"/>
  <c r="H101" i="19"/>
  <c r="G101" i="19"/>
  <c r="F101" i="19"/>
  <c r="E101" i="19"/>
  <c r="D101" i="19"/>
  <c r="C101" i="19"/>
  <c r="B101" i="19"/>
  <c r="K100" i="19"/>
  <c r="J100" i="19"/>
  <c r="I100" i="19"/>
  <c r="H100" i="19"/>
  <c r="G100" i="19"/>
  <c r="F100" i="19"/>
  <c r="E100" i="19"/>
  <c r="D100" i="19"/>
  <c r="C100" i="19"/>
  <c r="B100" i="19"/>
  <c r="K99" i="19"/>
  <c r="J99" i="19"/>
  <c r="I99" i="19"/>
  <c r="H99" i="19"/>
  <c r="G99" i="19"/>
  <c r="F99" i="19"/>
  <c r="E99" i="19"/>
  <c r="D99" i="19"/>
  <c r="C99" i="19"/>
  <c r="B99" i="19"/>
  <c r="K98" i="19"/>
  <c r="J98" i="19"/>
  <c r="I98" i="19"/>
  <c r="H98" i="19"/>
  <c r="G98" i="19"/>
  <c r="F98" i="19"/>
  <c r="E98" i="19"/>
  <c r="D98" i="19"/>
  <c r="C98" i="19"/>
  <c r="B98" i="19"/>
  <c r="K97" i="19"/>
  <c r="J97" i="19"/>
  <c r="I97" i="19"/>
  <c r="H97" i="19"/>
  <c r="G97" i="19"/>
  <c r="F97" i="19"/>
  <c r="E97" i="19"/>
  <c r="D97" i="19"/>
  <c r="C97" i="19"/>
  <c r="B97" i="19"/>
  <c r="K96" i="19"/>
  <c r="J96" i="19"/>
  <c r="I96" i="19"/>
  <c r="H96" i="19"/>
  <c r="G96" i="19"/>
  <c r="F96" i="19"/>
  <c r="E96" i="19"/>
  <c r="D96" i="19"/>
  <c r="C96" i="19"/>
  <c r="B96" i="19"/>
  <c r="K95" i="19"/>
  <c r="J95" i="19"/>
  <c r="I95" i="19"/>
  <c r="H95" i="19"/>
  <c r="G95" i="19"/>
  <c r="F95" i="19"/>
  <c r="E95" i="19"/>
  <c r="D95" i="19"/>
  <c r="C95" i="19"/>
  <c r="B95" i="19"/>
  <c r="K94" i="19"/>
  <c r="J94" i="19"/>
  <c r="I94" i="19"/>
  <c r="H94" i="19"/>
  <c r="G94" i="19"/>
  <c r="F94" i="19"/>
  <c r="E94" i="19"/>
  <c r="D94" i="19"/>
  <c r="C94" i="19"/>
  <c r="B94" i="19"/>
  <c r="K93" i="19"/>
  <c r="J93" i="19"/>
  <c r="I93" i="19"/>
  <c r="H93" i="19"/>
  <c r="G93" i="19"/>
  <c r="F93" i="19"/>
  <c r="E93" i="19"/>
  <c r="D93" i="19"/>
  <c r="C93" i="19"/>
  <c r="B93" i="19"/>
  <c r="K92" i="19"/>
  <c r="J92" i="19"/>
  <c r="I92" i="19"/>
  <c r="H92" i="19"/>
  <c r="G92" i="19"/>
  <c r="F92" i="19"/>
  <c r="E92" i="19"/>
  <c r="D92" i="19"/>
  <c r="C92" i="19"/>
  <c r="B92" i="19"/>
  <c r="K91" i="19"/>
  <c r="J91" i="19"/>
  <c r="I91" i="19"/>
  <c r="H91" i="19"/>
  <c r="G91" i="19"/>
  <c r="F91" i="19"/>
  <c r="E91" i="19"/>
  <c r="D91" i="19"/>
  <c r="C91" i="19"/>
  <c r="B91" i="19"/>
  <c r="K90" i="19"/>
  <c r="J90" i="19"/>
  <c r="I90" i="19"/>
  <c r="H90" i="19"/>
  <c r="G90" i="19"/>
  <c r="F90" i="19"/>
  <c r="E90" i="19"/>
  <c r="D90" i="19"/>
  <c r="C90" i="19"/>
  <c r="B90" i="19"/>
  <c r="K89" i="19"/>
  <c r="J89" i="19"/>
  <c r="I89" i="19"/>
  <c r="H89" i="19"/>
  <c r="G89" i="19"/>
  <c r="F89" i="19"/>
  <c r="E89" i="19"/>
  <c r="D89" i="19"/>
  <c r="C89" i="19"/>
  <c r="B89" i="19"/>
  <c r="K88" i="19"/>
  <c r="J88" i="19"/>
  <c r="I88" i="19"/>
  <c r="H88" i="19"/>
  <c r="G88" i="19"/>
  <c r="F88" i="19"/>
  <c r="E88" i="19"/>
  <c r="D88" i="19"/>
  <c r="C88" i="19"/>
  <c r="B88" i="19"/>
  <c r="K87" i="19"/>
  <c r="J87" i="19"/>
  <c r="I87" i="19"/>
  <c r="H87" i="19"/>
  <c r="G87" i="19"/>
  <c r="F87" i="19"/>
  <c r="E87" i="19"/>
  <c r="D87" i="19"/>
  <c r="C87" i="19"/>
  <c r="B87" i="19"/>
  <c r="K86" i="19"/>
  <c r="J86" i="19"/>
  <c r="I86" i="19"/>
  <c r="H86" i="19"/>
  <c r="G86" i="19"/>
  <c r="F86" i="19"/>
  <c r="E86" i="19"/>
  <c r="D86" i="19"/>
  <c r="C86" i="19"/>
  <c r="B86" i="19"/>
  <c r="K85" i="19"/>
  <c r="J85" i="19"/>
  <c r="I85" i="19"/>
  <c r="H85" i="19"/>
  <c r="G85" i="19"/>
  <c r="F85" i="19"/>
  <c r="E85" i="19"/>
  <c r="D85" i="19"/>
  <c r="C85" i="19"/>
  <c r="B85" i="19"/>
  <c r="K84" i="19"/>
  <c r="J84" i="19"/>
  <c r="I84" i="19"/>
  <c r="H84" i="19"/>
  <c r="G84" i="19"/>
  <c r="F84" i="19"/>
  <c r="E84" i="19"/>
  <c r="D84" i="19"/>
  <c r="C84" i="19"/>
  <c r="B84" i="19"/>
  <c r="K83" i="19"/>
  <c r="J83" i="19"/>
  <c r="I83" i="19"/>
  <c r="H83" i="19"/>
  <c r="G83" i="19"/>
  <c r="F83" i="19"/>
  <c r="E83" i="19"/>
  <c r="D83" i="19"/>
  <c r="C83" i="19"/>
  <c r="B83" i="19"/>
  <c r="K82" i="19"/>
  <c r="J82" i="19"/>
  <c r="I82" i="19"/>
  <c r="H82" i="19"/>
  <c r="G82" i="19"/>
  <c r="F82" i="19"/>
  <c r="E82" i="19"/>
  <c r="D82" i="19"/>
  <c r="C82" i="19"/>
  <c r="B82" i="19"/>
  <c r="K81" i="19"/>
  <c r="J81" i="19"/>
  <c r="I81" i="19"/>
  <c r="H81" i="19"/>
  <c r="G81" i="19"/>
  <c r="F81" i="19"/>
  <c r="E81" i="19"/>
  <c r="D81" i="19"/>
  <c r="C81" i="19"/>
  <c r="B81" i="19"/>
  <c r="K80" i="19"/>
  <c r="J80" i="19"/>
  <c r="I80" i="19"/>
  <c r="H80" i="19"/>
  <c r="G80" i="19"/>
  <c r="F80" i="19"/>
  <c r="E80" i="19"/>
  <c r="D80" i="19"/>
  <c r="C80" i="19"/>
  <c r="B80" i="19"/>
  <c r="K79" i="19"/>
  <c r="J79" i="19"/>
  <c r="I79" i="19"/>
  <c r="H79" i="19"/>
  <c r="G79" i="19"/>
  <c r="F79" i="19"/>
  <c r="E79" i="19"/>
  <c r="D79" i="19"/>
  <c r="C79" i="19"/>
  <c r="B79" i="19"/>
  <c r="K78" i="19"/>
  <c r="J78" i="19"/>
  <c r="I78" i="19"/>
  <c r="H78" i="19"/>
  <c r="G78" i="19"/>
  <c r="F78" i="19"/>
  <c r="E78" i="19"/>
  <c r="D78" i="19"/>
  <c r="C78" i="19"/>
  <c r="B78" i="19"/>
  <c r="K77" i="19"/>
  <c r="J77" i="19"/>
  <c r="I77" i="19"/>
  <c r="H77" i="19"/>
  <c r="G77" i="19"/>
  <c r="F77" i="19"/>
  <c r="E77" i="19"/>
  <c r="D77" i="19"/>
  <c r="C77" i="19"/>
  <c r="B77" i="19"/>
  <c r="K76" i="19"/>
  <c r="J76" i="19"/>
  <c r="I76" i="19"/>
  <c r="H76" i="19"/>
  <c r="G76" i="19"/>
  <c r="F76" i="19"/>
  <c r="E76" i="19"/>
  <c r="D76" i="19"/>
  <c r="C76" i="19"/>
  <c r="B76" i="19"/>
  <c r="K75" i="19"/>
  <c r="J75" i="19"/>
  <c r="I75" i="19"/>
  <c r="H75" i="19"/>
  <c r="G75" i="19"/>
  <c r="F75" i="19"/>
  <c r="E75" i="19"/>
  <c r="D75" i="19"/>
  <c r="C75" i="19"/>
  <c r="B75" i="19"/>
  <c r="K74" i="19"/>
  <c r="J74" i="19"/>
  <c r="I74" i="19"/>
  <c r="H74" i="19"/>
  <c r="G74" i="19"/>
  <c r="F74" i="19"/>
  <c r="E74" i="19"/>
  <c r="D74" i="19"/>
  <c r="C74" i="19"/>
  <c r="B74" i="19"/>
  <c r="K73" i="19"/>
  <c r="J73" i="19"/>
  <c r="I73" i="19"/>
  <c r="H73" i="19"/>
  <c r="G73" i="19"/>
  <c r="F73" i="19"/>
  <c r="E73" i="19"/>
  <c r="D73" i="19"/>
  <c r="C73" i="19"/>
  <c r="B73" i="19"/>
  <c r="K72" i="19"/>
  <c r="J72" i="19"/>
  <c r="I72" i="19"/>
  <c r="H72" i="19"/>
  <c r="G72" i="19"/>
  <c r="F72" i="19"/>
  <c r="E72" i="19"/>
  <c r="D72" i="19"/>
  <c r="C72" i="19"/>
  <c r="B72" i="19"/>
  <c r="K71" i="19"/>
  <c r="J71" i="19"/>
  <c r="I71" i="19"/>
  <c r="H71" i="19"/>
  <c r="G71" i="19"/>
  <c r="F71" i="19"/>
  <c r="E71" i="19"/>
  <c r="D71" i="19"/>
  <c r="C71" i="19"/>
  <c r="B71" i="19"/>
  <c r="K70" i="19"/>
  <c r="J70" i="19"/>
  <c r="I70" i="19"/>
  <c r="H70" i="19"/>
  <c r="G70" i="19"/>
  <c r="F70" i="19"/>
  <c r="E70" i="19"/>
  <c r="D70" i="19"/>
  <c r="C70" i="19"/>
  <c r="B70" i="19"/>
  <c r="K69" i="19"/>
  <c r="J69" i="19"/>
  <c r="I69" i="19"/>
  <c r="H69" i="19"/>
  <c r="G69" i="19"/>
  <c r="F69" i="19"/>
  <c r="E69" i="19"/>
  <c r="D69" i="19"/>
  <c r="C69" i="19"/>
  <c r="B69" i="19"/>
  <c r="K68" i="19"/>
  <c r="J68" i="19"/>
  <c r="I68" i="19"/>
  <c r="H68" i="19"/>
  <c r="G68" i="19"/>
  <c r="F68" i="19"/>
  <c r="E68" i="19"/>
  <c r="D68" i="19"/>
  <c r="C68" i="19"/>
  <c r="B68" i="19"/>
  <c r="K67" i="19"/>
  <c r="J67" i="19"/>
  <c r="I67" i="19"/>
  <c r="H67" i="19"/>
  <c r="G67" i="19"/>
  <c r="F67" i="19"/>
  <c r="E67" i="19"/>
  <c r="D67" i="19"/>
  <c r="C67" i="19"/>
  <c r="B67" i="19"/>
  <c r="K66" i="19"/>
  <c r="J66" i="19"/>
  <c r="I66" i="19"/>
  <c r="H66" i="19"/>
  <c r="G66" i="19"/>
  <c r="F66" i="19"/>
  <c r="E66" i="19"/>
  <c r="D66" i="19"/>
  <c r="C66" i="19"/>
  <c r="B66" i="19"/>
  <c r="K65" i="19"/>
  <c r="J65" i="19"/>
  <c r="I65" i="19"/>
  <c r="H65" i="19"/>
  <c r="G65" i="19"/>
  <c r="F65" i="19"/>
  <c r="E65" i="19"/>
  <c r="D65" i="19"/>
  <c r="C65" i="19"/>
  <c r="B65" i="19"/>
  <c r="K64" i="19"/>
  <c r="J64" i="19"/>
  <c r="I64" i="19"/>
  <c r="H64" i="19"/>
  <c r="G64" i="19"/>
  <c r="F64" i="19"/>
  <c r="E64" i="19"/>
  <c r="D64" i="19"/>
  <c r="C64" i="19"/>
  <c r="B64" i="19"/>
  <c r="K63" i="19"/>
  <c r="J63" i="19"/>
  <c r="I63" i="19"/>
  <c r="H63" i="19"/>
  <c r="G63" i="19"/>
  <c r="F63" i="19"/>
  <c r="E63" i="19"/>
  <c r="D63" i="19"/>
  <c r="C63" i="19"/>
  <c r="B63" i="19"/>
  <c r="K62" i="19"/>
  <c r="J62" i="19"/>
  <c r="I62" i="19"/>
  <c r="H62" i="19"/>
  <c r="G62" i="19"/>
  <c r="F62" i="19"/>
  <c r="E62" i="19"/>
  <c r="D62" i="19"/>
  <c r="C62" i="19"/>
  <c r="B62" i="19"/>
  <c r="K61" i="19"/>
  <c r="J61" i="19"/>
  <c r="I61" i="19"/>
  <c r="H61" i="19"/>
  <c r="G61" i="19"/>
  <c r="F61" i="19"/>
  <c r="E61" i="19"/>
  <c r="D61" i="19"/>
  <c r="C61" i="19"/>
  <c r="B61" i="19"/>
  <c r="K60" i="19"/>
  <c r="J60" i="19"/>
  <c r="I60" i="19"/>
  <c r="H60" i="19"/>
  <c r="G60" i="19"/>
  <c r="F60" i="19"/>
  <c r="E60" i="19"/>
  <c r="D60" i="19"/>
  <c r="C60" i="19"/>
  <c r="B60" i="19"/>
  <c r="K59" i="19"/>
  <c r="J59" i="19"/>
  <c r="I59" i="19"/>
  <c r="H59" i="19"/>
  <c r="G59" i="19"/>
  <c r="F59" i="19"/>
  <c r="E59" i="19"/>
  <c r="D59" i="19"/>
  <c r="C59" i="19"/>
  <c r="B59" i="19"/>
  <c r="K58" i="19"/>
  <c r="J58" i="19"/>
  <c r="I58" i="19"/>
  <c r="H58" i="19"/>
  <c r="G58" i="19"/>
  <c r="F58" i="19"/>
  <c r="E58" i="19"/>
  <c r="D58" i="19"/>
  <c r="C58" i="19"/>
  <c r="B58" i="19"/>
  <c r="K57" i="19"/>
  <c r="J57" i="19"/>
  <c r="I57" i="19"/>
  <c r="H57" i="19"/>
  <c r="G57" i="19"/>
  <c r="F57" i="19"/>
  <c r="E57" i="19"/>
  <c r="D57" i="19"/>
  <c r="C57" i="19"/>
  <c r="B57" i="19"/>
  <c r="K56" i="19"/>
  <c r="J56" i="19"/>
  <c r="I56" i="19"/>
  <c r="H56" i="19"/>
  <c r="G56" i="19"/>
  <c r="F56" i="19"/>
  <c r="E56" i="19"/>
  <c r="D56" i="19"/>
  <c r="C56" i="19"/>
  <c r="B56" i="19"/>
  <c r="K55" i="19"/>
  <c r="J55" i="19"/>
  <c r="I55" i="19"/>
  <c r="H55" i="19"/>
  <c r="G55" i="19"/>
  <c r="F55" i="19"/>
  <c r="E55" i="19"/>
  <c r="D55" i="19"/>
  <c r="C55" i="19"/>
  <c r="B55" i="19"/>
  <c r="K54" i="19"/>
  <c r="J54" i="19"/>
  <c r="I54" i="19"/>
  <c r="H54" i="19"/>
  <c r="G54" i="19"/>
  <c r="F54" i="19"/>
  <c r="E54" i="19"/>
  <c r="D54" i="19"/>
  <c r="C54" i="19"/>
  <c r="B54" i="19"/>
  <c r="K53" i="19"/>
  <c r="J53" i="19"/>
  <c r="I53" i="19"/>
  <c r="H53" i="19"/>
  <c r="G53" i="19"/>
  <c r="F53" i="19"/>
  <c r="E53" i="19"/>
  <c r="D53" i="19"/>
  <c r="C53" i="19"/>
  <c r="B53" i="19"/>
  <c r="K52" i="19"/>
  <c r="J52" i="19"/>
  <c r="I52" i="19"/>
  <c r="H52" i="19"/>
  <c r="G52" i="19"/>
  <c r="F52" i="19"/>
  <c r="E52" i="19"/>
  <c r="D52" i="19"/>
  <c r="C52" i="19"/>
  <c r="B52" i="19"/>
  <c r="K51" i="19"/>
  <c r="J51" i="19"/>
  <c r="I51" i="19"/>
  <c r="H51" i="19"/>
  <c r="G51" i="19"/>
  <c r="F51" i="19"/>
  <c r="E51" i="19"/>
  <c r="D51" i="19"/>
  <c r="C51" i="19"/>
  <c r="B51" i="19"/>
  <c r="K50" i="19"/>
  <c r="J50" i="19"/>
  <c r="I50" i="19"/>
  <c r="H50" i="19"/>
  <c r="G50" i="19"/>
  <c r="F50" i="19"/>
  <c r="E50" i="19"/>
  <c r="D50" i="19"/>
  <c r="C50" i="19"/>
  <c r="B50" i="19"/>
  <c r="K49" i="19"/>
  <c r="J49" i="19"/>
  <c r="I49" i="19"/>
  <c r="H49" i="19"/>
  <c r="G49" i="19"/>
  <c r="F49" i="19"/>
  <c r="E49" i="19"/>
  <c r="D49" i="19"/>
  <c r="C49" i="19"/>
  <c r="B49" i="19"/>
  <c r="K48" i="19"/>
  <c r="J48" i="19"/>
  <c r="I48" i="19"/>
  <c r="H48" i="19"/>
  <c r="G48" i="19"/>
  <c r="F48" i="19"/>
  <c r="E48" i="19"/>
  <c r="D48" i="19"/>
  <c r="C48" i="19"/>
  <c r="B48" i="19"/>
  <c r="K47" i="19"/>
  <c r="J47" i="19"/>
  <c r="I47" i="19"/>
  <c r="H47" i="19"/>
  <c r="G47" i="19"/>
  <c r="F47" i="19"/>
  <c r="E47" i="19"/>
  <c r="D47" i="19"/>
  <c r="C47" i="19"/>
  <c r="B47" i="19"/>
  <c r="K46" i="19"/>
  <c r="J46" i="19"/>
  <c r="I46" i="19"/>
  <c r="H46" i="19"/>
  <c r="G46" i="19"/>
  <c r="F46" i="19"/>
  <c r="E46" i="19"/>
  <c r="D46" i="19"/>
  <c r="C46" i="19"/>
  <c r="B46" i="19"/>
  <c r="K45" i="19"/>
  <c r="J45" i="19"/>
  <c r="I45" i="19"/>
  <c r="H45" i="19"/>
  <c r="G45" i="19"/>
  <c r="F45" i="19"/>
  <c r="E45" i="19"/>
  <c r="D45" i="19"/>
  <c r="C45" i="19"/>
  <c r="B45" i="19"/>
  <c r="K44" i="19"/>
  <c r="J44" i="19"/>
  <c r="I44" i="19"/>
  <c r="H44" i="19"/>
  <c r="G44" i="19"/>
  <c r="F44" i="19"/>
  <c r="E44" i="19"/>
  <c r="D44" i="19"/>
  <c r="C44" i="19"/>
  <c r="B44" i="19"/>
  <c r="K43" i="19"/>
  <c r="J43" i="19"/>
  <c r="I43" i="19"/>
  <c r="H43" i="19"/>
  <c r="G43" i="19"/>
  <c r="F43" i="19"/>
  <c r="E43" i="19"/>
  <c r="D43" i="19"/>
  <c r="C43" i="19"/>
  <c r="B43" i="19"/>
  <c r="K42" i="19"/>
  <c r="J42" i="19"/>
  <c r="I42" i="19"/>
  <c r="H42" i="19"/>
  <c r="G42" i="19"/>
  <c r="F42" i="19"/>
  <c r="E42" i="19"/>
  <c r="D42" i="19"/>
  <c r="C42" i="19"/>
  <c r="B42" i="19"/>
  <c r="K41" i="19"/>
  <c r="J41" i="19"/>
  <c r="I41" i="19"/>
  <c r="H41" i="19"/>
  <c r="G41" i="19"/>
  <c r="F41" i="19"/>
  <c r="E41" i="19"/>
  <c r="D41" i="19"/>
  <c r="C41" i="19"/>
  <c r="B41" i="19"/>
  <c r="K40" i="19"/>
  <c r="J40" i="19"/>
  <c r="I40" i="19"/>
  <c r="H40" i="19"/>
  <c r="G40" i="19"/>
  <c r="F40" i="19"/>
  <c r="E40" i="19"/>
  <c r="D40" i="19"/>
  <c r="C40" i="19"/>
  <c r="B40" i="19"/>
  <c r="K39" i="19"/>
  <c r="J39" i="19"/>
  <c r="I39" i="19"/>
  <c r="H39" i="19"/>
  <c r="G39" i="19"/>
  <c r="F39" i="19"/>
  <c r="E39" i="19"/>
  <c r="D39" i="19"/>
  <c r="C39" i="19"/>
  <c r="B39" i="19"/>
  <c r="K38" i="19"/>
  <c r="J38" i="19"/>
  <c r="I38" i="19"/>
  <c r="H38" i="19"/>
  <c r="G38" i="19"/>
  <c r="F38" i="19"/>
  <c r="E38" i="19"/>
  <c r="D38" i="19"/>
  <c r="C38" i="19"/>
  <c r="B38" i="19"/>
  <c r="K37" i="19"/>
  <c r="J37" i="19"/>
  <c r="I37" i="19"/>
  <c r="H37" i="19"/>
  <c r="G37" i="19"/>
  <c r="F37" i="19"/>
  <c r="E37" i="19"/>
  <c r="D37" i="19"/>
  <c r="C37" i="19"/>
  <c r="B37" i="19"/>
  <c r="K36" i="19"/>
  <c r="J36" i="19"/>
  <c r="I36" i="19"/>
  <c r="H36" i="19"/>
  <c r="G36" i="19"/>
  <c r="F36" i="19"/>
  <c r="E36" i="19"/>
  <c r="D36" i="19"/>
  <c r="C36" i="19"/>
  <c r="B36" i="19"/>
  <c r="K35" i="19"/>
  <c r="J35" i="19"/>
  <c r="I35" i="19"/>
  <c r="H35" i="19"/>
  <c r="G35" i="19"/>
  <c r="F35" i="19"/>
  <c r="E35" i="19"/>
  <c r="D35" i="19"/>
  <c r="C35" i="19"/>
  <c r="B35" i="19"/>
  <c r="K34" i="19"/>
  <c r="J34" i="19"/>
  <c r="I34" i="19"/>
  <c r="H34" i="19"/>
  <c r="G34" i="19"/>
  <c r="F34" i="19"/>
  <c r="E34" i="19"/>
  <c r="D34" i="19"/>
  <c r="C34" i="19"/>
  <c r="B34" i="19"/>
  <c r="K33" i="19"/>
  <c r="J33" i="19"/>
  <c r="I33" i="19"/>
  <c r="H33" i="19"/>
  <c r="G33" i="19"/>
  <c r="F33" i="19"/>
  <c r="E33" i="19"/>
  <c r="D33" i="19"/>
  <c r="C33" i="19"/>
  <c r="B33" i="19"/>
  <c r="K32" i="19"/>
  <c r="J32" i="19"/>
  <c r="I32" i="19"/>
  <c r="H32" i="19"/>
  <c r="G32" i="19"/>
  <c r="F32" i="19"/>
  <c r="E32" i="19"/>
  <c r="D32" i="19"/>
  <c r="C32" i="19"/>
  <c r="B32" i="19"/>
  <c r="K31" i="19"/>
  <c r="J31" i="19"/>
  <c r="I31" i="19"/>
  <c r="H31" i="19"/>
  <c r="G31" i="19"/>
  <c r="F31" i="19"/>
  <c r="E31" i="19"/>
  <c r="D31" i="19"/>
  <c r="C31" i="19"/>
  <c r="B31" i="19"/>
  <c r="K30" i="19"/>
  <c r="J30" i="19"/>
  <c r="I30" i="19"/>
  <c r="H30" i="19"/>
  <c r="G30" i="19"/>
  <c r="F30" i="19"/>
  <c r="E30" i="19"/>
  <c r="D30" i="19"/>
  <c r="C30" i="19"/>
  <c r="B30" i="19"/>
  <c r="K29" i="19"/>
  <c r="J29" i="19"/>
  <c r="I29" i="19"/>
  <c r="H29" i="19"/>
  <c r="G29" i="19"/>
  <c r="F29" i="19"/>
  <c r="E29" i="19"/>
  <c r="D29" i="19"/>
  <c r="C29" i="19"/>
  <c r="B29" i="19"/>
  <c r="K28" i="19"/>
  <c r="J28" i="19"/>
  <c r="I28" i="19"/>
  <c r="H28" i="19"/>
  <c r="G28" i="19"/>
  <c r="F28" i="19"/>
  <c r="E28" i="19"/>
  <c r="D28" i="19"/>
  <c r="C28" i="19"/>
  <c r="B28" i="19"/>
  <c r="K27" i="19"/>
  <c r="J27" i="19"/>
  <c r="I27" i="19"/>
  <c r="H27" i="19"/>
  <c r="G27" i="19"/>
  <c r="F27" i="19"/>
  <c r="E27" i="19"/>
  <c r="D27" i="19"/>
  <c r="C27" i="19"/>
  <c r="B27" i="19"/>
  <c r="K26" i="19"/>
  <c r="J26" i="19"/>
  <c r="I26" i="19"/>
  <c r="H26" i="19"/>
  <c r="G26" i="19"/>
  <c r="F26" i="19"/>
  <c r="E26" i="19"/>
  <c r="D26" i="19"/>
  <c r="C26" i="19"/>
  <c r="B26" i="19"/>
  <c r="K25" i="19"/>
  <c r="J25" i="19"/>
  <c r="I25" i="19"/>
  <c r="H25" i="19"/>
  <c r="G25" i="19"/>
  <c r="F25" i="19"/>
  <c r="E25" i="19"/>
  <c r="D25" i="19"/>
  <c r="C25" i="19"/>
  <c r="B25" i="19"/>
  <c r="K24" i="19"/>
  <c r="J24" i="19"/>
  <c r="I24" i="19"/>
  <c r="H24" i="19"/>
  <c r="G24" i="19"/>
  <c r="F24" i="19"/>
  <c r="E24" i="19"/>
  <c r="D24" i="19"/>
  <c r="C24" i="19"/>
  <c r="B24" i="19"/>
  <c r="K23" i="19"/>
  <c r="J23" i="19"/>
  <c r="I23" i="19"/>
  <c r="H23" i="19"/>
  <c r="G23" i="19"/>
  <c r="F23" i="19"/>
  <c r="E23" i="19"/>
  <c r="D23" i="19"/>
  <c r="C23" i="19"/>
  <c r="B23" i="19"/>
  <c r="K22" i="19"/>
  <c r="J22" i="19"/>
  <c r="I22" i="19"/>
  <c r="H22" i="19"/>
  <c r="G22" i="19"/>
  <c r="F22" i="19"/>
  <c r="E22" i="19"/>
  <c r="D22" i="19"/>
  <c r="C22" i="19"/>
  <c r="B22" i="19"/>
  <c r="K21" i="19"/>
  <c r="J21" i="19"/>
  <c r="I21" i="19"/>
  <c r="H21" i="19"/>
  <c r="G21" i="19"/>
  <c r="F21" i="19"/>
  <c r="E21" i="19"/>
  <c r="D21" i="19"/>
  <c r="C21" i="19"/>
  <c r="B21" i="19"/>
  <c r="K20" i="19"/>
  <c r="J20" i="19"/>
  <c r="I20" i="19"/>
  <c r="H20" i="19"/>
  <c r="G20" i="19"/>
  <c r="F20" i="19"/>
  <c r="E20" i="19"/>
  <c r="D20" i="19"/>
  <c r="C20" i="19"/>
  <c r="B20" i="19"/>
  <c r="K19" i="19"/>
  <c r="J19" i="19"/>
  <c r="I19" i="19"/>
  <c r="H19" i="19"/>
  <c r="G19" i="19"/>
  <c r="F19" i="19"/>
  <c r="E19" i="19"/>
  <c r="D19" i="19"/>
  <c r="C19" i="19"/>
  <c r="B19" i="19"/>
  <c r="K18" i="19"/>
  <c r="J18" i="19"/>
  <c r="I18" i="19"/>
  <c r="H18" i="19"/>
  <c r="G18" i="19"/>
  <c r="F18" i="19"/>
  <c r="E18" i="19"/>
  <c r="D18" i="19"/>
  <c r="C18" i="19"/>
  <c r="B18" i="19"/>
  <c r="K17" i="19"/>
  <c r="J17" i="19"/>
  <c r="I17" i="19"/>
  <c r="H17" i="19"/>
  <c r="G17" i="19"/>
  <c r="F17" i="19"/>
  <c r="E17" i="19"/>
  <c r="D17" i="19"/>
  <c r="C17" i="19"/>
  <c r="B17" i="19"/>
  <c r="A4" i="19"/>
  <c r="K135" i="17"/>
  <c r="J135" i="17"/>
  <c r="I135" i="17"/>
  <c r="H135" i="17"/>
  <c r="G135" i="17"/>
  <c r="F135" i="17"/>
  <c r="E135" i="17"/>
  <c r="D135" i="17"/>
  <c r="C135" i="17"/>
  <c r="B135" i="17"/>
  <c r="K134" i="17"/>
  <c r="J134" i="17"/>
  <c r="I134" i="17"/>
  <c r="H134" i="17"/>
  <c r="G134" i="17"/>
  <c r="F134" i="17"/>
  <c r="E134" i="17"/>
  <c r="D134" i="17"/>
  <c r="C134" i="17"/>
  <c r="B134" i="17"/>
  <c r="K133" i="17"/>
  <c r="J133" i="17"/>
  <c r="I133" i="17"/>
  <c r="H133" i="17"/>
  <c r="G133" i="17"/>
  <c r="F133" i="17"/>
  <c r="E133" i="17"/>
  <c r="D133" i="17"/>
  <c r="C133" i="17"/>
  <c r="B133" i="17"/>
  <c r="K132" i="17"/>
  <c r="J132" i="17"/>
  <c r="I132" i="17"/>
  <c r="H132" i="17"/>
  <c r="G132" i="17"/>
  <c r="F132" i="17"/>
  <c r="E132" i="17"/>
  <c r="D132" i="17"/>
  <c r="C132" i="17"/>
  <c r="B132" i="17"/>
  <c r="K131" i="17"/>
  <c r="J131" i="17"/>
  <c r="I131" i="17"/>
  <c r="H131" i="17"/>
  <c r="G131" i="17"/>
  <c r="F131" i="17"/>
  <c r="E131" i="17"/>
  <c r="D131" i="17"/>
  <c r="C131" i="17"/>
  <c r="B131" i="17"/>
  <c r="K130" i="17"/>
  <c r="J130" i="17"/>
  <c r="I130" i="17"/>
  <c r="H130" i="17"/>
  <c r="G130" i="17"/>
  <c r="F130" i="17"/>
  <c r="E130" i="17"/>
  <c r="D130" i="17"/>
  <c r="C130" i="17"/>
  <c r="B130" i="17"/>
  <c r="K129" i="17"/>
  <c r="J129" i="17"/>
  <c r="I129" i="17"/>
  <c r="H129" i="17"/>
  <c r="G129" i="17"/>
  <c r="F129" i="17"/>
  <c r="E129" i="17"/>
  <c r="D129" i="17"/>
  <c r="C129" i="17"/>
  <c r="B129" i="17"/>
  <c r="K128" i="17"/>
  <c r="J128" i="17"/>
  <c r="I128" i="17"/>
  <c r="H128" i="17"/>
  <c r="G128" i="17"/>
  <c r="F128" i="17"/>
  <c r="E128" i="17"/>
  <c r="D128" i="17"/>
  <c r="C128" i="17"/>
  <c r="B128" i="17"/>
  <c r="K127" i="17"/>
  <c r="J127" i="17"/>
  <c r="I127" i="17"/>
  <c r="H127" i="17"/>
  <c r="G127" i="17"/>
  <c r="F127" i="17"/>
  <c r="E127" i="17"/>
  <c r="D127" i="17"/>
  <c r="C127" i="17"/>
  <c r="B127" i="17"/>
  <c r="K126" i="17"/>
  <c r="J126" i="17"/>
  <c r="I126" i="17"/>
  <c r="H126" i="17"/>
  <c r="G126" i="17"/>
  <c r="F126" i="17"/>
  <c r="E126" i="17"/>
  <c r="D126" i="17"/>
  <c r="C126" i="17"/>
  <c r="B126" i="17"/>
  <c r="K125" i="17"/>
  <c r="J125" i="17"/>
  <c r="I125" i="17"/>
  <c r="H125" i="17"/>
  <c r="G125" i="17"/>
  <c r="F125" i="17"/>
  <c r="E125" i="17"/>
  <c r="D125" i="17"/>
  <c r="C125" i="17"/>
  <c r="B125" i="17"/>
  <c r="K124" i="17"/>
  <c r="J124" i="17"/>
  <c r="I124" i="17"/>
  <c r="H124" i="17"/>
  <c r="G124" i="17"/>
  <c r="F124" i="17"/>
  <c r="E124" i="17"/>
  <c r="D124" i="17"/>
  <c r="C124" i="17"/>
  <c r="B124" i="17"/>
  <c r="K123" i="17"/>
  <c r="J123" i="17"/>
  <c r="I123" i="17"/>
  <c r="H123" i="17"/>
  <c r="G123" i="17"/>
  <c r="F123" i="17"/>
  <c r="E123" i="17"/>
  <c r="D123" i="17"/>
  <c r="C123" i="17"/>
  <c r="B123" i="17"/>
  <c r="K122" i="17"/>
  <c r="J122" i="17"/>
  <c r="I122" i="17"/>
  <c r="H122" i="17"/>
  <c r="G122" i="17"/>
  <c r="F122" i="17"/>
  <c r="E122" i="17"/>
  <c r="D122" i="17"/>
  <c r="C122" i="17"/>
  <c r="B122" i="17"/>
  <c r="K121" i="17"/>
  <c r="J121" i="17"/>
  <c r="I121" i="17"/>
  <c r="H121" i="17"/>
  <c r="G121" i="17"/>
  <c r="F121" i="17"/>
  <c r="E121" i="17"/>
  <c r="D121" i="17"/>
  <c r="C121" i="17"/>
  <c r="B121" i="17"/>
  <c r="K120" i="17"/>
  <c r="J120" i="17"/>
  <c r="I120" i="17"/>
  <c r="H120" i="17"/>
  <c r="G120" i="17"/>
  <c r="F120" i="17"/>
  <c r="E120" i="17"/>
  <c r="D120" i="17"/>
  <c r="C120" i="17"/>
  <c r="B120" i="17"/>
  <c r="K119" i="17"/>
  <c r="J119" i="17"/>
  <c r="I119" i="17"/>
  <c r="H119" i="17"/>
  <c r="G119" i="17"/>
  <c r="F119" i="17"/>
  <c r="E119" i="17"/>
  <c r="D119" i="17"/>
  <c r="C119" i="17"/>
  <c r="B119" i="17"/>
  <c r="K118" i="17"/>
  <c r="J118" i="17"/>
  <c r="I118" i="17"/>
  <c r="H118" i="17"/>
  <c r="G118" i="17"/>
  <c r="F118" i="17"/>
  <c r="E118" i="17"/>
  <c r="D118" i="17"/>
  <c r="C118" i="17"/>
  <c r="B118" i="17"/>
  <c r="K117" i="17"/>
  <c r="J117" i="17"/>
  <c r="I117" i="17"/>
  <c r="H117" i="17"/>
  <c r="G117" i="17"/>
  <c r="F117" i="17"/>
  <c r="E117" i="17"/>
  <c r="D117" i="17"/>
  <c r="C117" i="17"/>
  <c r="B117" i="17"/>
  <c r="K116" i="17"/>
  <c r="J116" i="17"/>
  <c r="I116" i="17"/>
  <c r="H116" i="17"/>
  <c r="G116" i="17"/>
  <c r="F116" i="17"/>
  <c r="E116" i="17"/>
  <c r="D116" i="17"/>
  <c r="C116" i="17"/>
  <c r="B116" i="17"/>
  <c r="K115" i="17"/>
  <c r="J115" i="17"/>
  <c r="I115" i="17"/>
  <c r="H115" i="17"/>
  <c r="G115" i="17"/>
  <c r="F115" i="17"/>
  <c r="E115" i="17"/>
  <c r="D115" i="17"/>
  <c r="C115" i="17"/>
  <c r="B115" i="17"/>
  <c r="K114" i="17"/>
  <c r="J114" i="17"/>
  <c r="I114" i="17"/>
  <c r="H114" i="17"/>
  <c r="G114" i="17"/>
  <c r="F114" i="17"/>
  <c r="E114" i="17"/>
  <c r="D114" i="17"/>
  <c r="C114" i="17"/>
  <c r="B114" i="17"/>
  <c r="K113" i="17"/>
  <c r="J113" i="17"/>
  <c r="I113" i="17"/>
  <c r="H113" i="17"/>
  <c r="G113" i="17"/>
  <c r="F113" i="17"/>
  <c r="E113" i="17"/>
  <c r="D113" i="17"/>
  <c r="C113" i="17"/>
  <c r="B113" i="17"/>
  <c r="K112" i="17"/>
  <c r="J112" i="17"/>
  <c r="I112" i="17"/>
  <c r="H112" i="17"/>
  <c r="G112" i="17"/>
  <c r="F112" i="17"/>
  <c r="E112" i="17"/>
  <c r="D112" i="17"/>
  <c r="C112" i="17"/>
  <c r="B112" i="17"/>
  <c r="K111" i="17"/>
  <c r="J111" i="17"/>
  <c r="I111" i="17"/>
  <c r="H111" i="17"/>
  <c r="G111" i="17"/>
  <c r="F111" i="17"/>
  <c r="E111" i="17"/>
  <c r="D111" i="17"/>
  <c r="C111" i="17"/>
  <c r="B111" i="17"/>
  <c r="K110" i="17"/>
  <c r="J110" i="17"/>
  <c r="I110" i="17"/>
  <c r="H110" i="17"/>
  <c r="G110" i="17"/>
  <c r="F110" i="17"/>
  <c r="E110" i="17"/>
  <c r="D110" i="17"/>
  <c r="C110" i="17"/>
  <c r="B110" i="17"/>
  <c r="K109" i="17"/>
  <c r="J109" i="17"/>
  <c r="I109" i="17"/>
  <c r="H109" i="17"/>
  <c r="G109" i="17"/>
  <c r="F109" i="17"/>
  <c r="E109" i="17"/>
  <c r="D109" i="17"/>
  <c r="C109" i="17"/>
  <c r="B109" i="17"/>
  <c r="K108" i="17"/>
  <c r="J108" i="17"/>
  <c r="I108" i="17"/>
  <c r="H108" i="17"/>
  <c r="G108" i="17"/>
  <c r="F108" i="17"/>
  <c r="E108" i="17"/>
  <c r="D108" i="17"/>
  <c r="C108" i="17"/>
  <c r="B108" i="17"/>
  <c r="K107" i="17"/>
  <c r="J107" i="17"/>
  <c r="I107" i="17"/>
  <c r="H107" i="17"/>
  <c r="G107" i="17"/>
  <c r="F107" i="17"/>
  <c r="E107" i="17"/>
  <c r="D107" i="17"/>
  <c r="C107" i="17"/>
  <c r="B107" i="17"/>
  <c r="K106" i="17"/>
  <c r="J106" i="17"/>
  <c r="I106" i="17"/>
  <c r="H106" i="17"/>
  <c r="G106" i="17"/>
  <c r="F106" i="17"/>
  <c r="E106" i="17"/>
  <c r="D106" i="17"/>
  <c r="C106" i="17"/>
  <c r="B106" i="17"/>
  <c r="K105" i="17"/>
  <c r="J105" i="17"/>
  <c r="I105" i="17"/>
  <c r="H105" i="17"/>
  <c r="G105" i="17"/>
  <c r="F105" i="17"/>
  <c r="E105" i="17"/>
  <c r="D105" i="17"/>
  <c r="C105" i="17"/>
  <c r="B105" i="17"/>
  <c r="K104" i="17"/>
  <c r="J104" i="17"/>
  <c r="I104" i="17"/>
  <c r="H104" i="17"/>
  <c r="G104" i="17"/>
  <c r="F104" i="17"/>
  <c r="E104" i="17"/>
  <c r="D104" i="17"/>
  <c r="C104" i="17"/>
  <c r="B104" i="17"/>
  <c r="K103" i="17"/>
  <c r="J103" i="17"/>
  <c r="I103" i="17"/>
  <c r="H103" i="17"/>
  <c r="G103" i="17"/>
  <c r="F103" i="17"/>
  <c r="E103" i="17"/>
  <c r="D103" i="17"/>
  <c r="C103" i="17"/>
  <c r="B103" i="17"/>
  <c r="K102" i="17"/>
  <c r="J102" i="17"/>
  <c r="I102" i="17"/>
  <c r="H102" i="17"/>
  <c r="G102" i="17"/>
  <c r="F102" i="17"/>
  <c r="E102" i="17"/>
  <c r="D102" i="17"/>
  <c r="C102" i="17"/>
  <c r="B102" i="17"/>
  <c r="K101" i="17"/>
  <c r="J101" i="17"/>
  <c r="I101" i="17"/>
  <c r="H101" i="17"/>
  <c r="G101" i="17"/>
  <c r="F101" i="17"/>
  <c r="E101" i="17"/>
  <c r="D101" i="17"/>
  <c r="C101" i="17"/>
  <c r="B101" i="17"/>
  <c r="K100" i="17"/>
  <c r="J100" i="17"/>
  <c r="I100" i="17"/>
  <c r="H100" i="17"/>
  <c r="G100" i="17"/>
  <c r="F100" i="17"/>
  <c r="E100" i="17"/>
  <c r="D100" i="17"/>
  <c r="C100" i="17"/>
  <c r="B100" i="17"/>
  <c r="K99" i="17"/>
  <c r="J99" i="17"/>
  <c r="I99" i="17"/>
  <c r="H99" i="17"/>
  <c r="G99" i="17"/>
  <c r="F99" i="17"/>
  <c r="E99" i="17"/>
  <c r="D99" i="17"/>
  <c r="C99" i="17"/>
  <c r="B99" i="17"/>
  <c r="K98" i="17"/>
  <c r="J98" i="17"/>
  <c r="I98" i="17"/>
  <c r="H98" i="17"/>
  <c r="G98" i="17"/>
  <c r="F98" i="17"/>
  <c r="E98" i="17"/>
  <c r="D98" i="17"/>
  <c r="C98" i="17"/>
  <c r="B98" i="17"/>
  <c r="K97" i="17"/>
  <c r="J97" i="17"/>
  <c r="I97" i="17"/>
  <c r="H97" i="17"/>
  <c r="G97" i="17"/>
  <c r="F97" i="17"/>
  <c r="E97" i="17"/>
  <c r="D97" i="17"/>
  <c r="C97" i="17"/>
  <c r="B97" i="17"/>
  <c r="K96" i="17"/>
  <c r="J96" i="17"/>
  <c r="I96" i="17"/>
  <c r="H96" i="17"/>
  <c r="G96" i="17"/>
  <c r="F96" i="17"/>
  <c r="E96" i="17"/>
  <c r="D96" i="17"/>
  <c r="C96" i="17"/>
  <c r="B96" i="17"/>
  <c r="K95" i="17"/>
  <c r="J95" i="17"/>
  <c r="I95" i="17"/>
  <c r="H95" i="17"/>
  <c r="G95" i="17"/>
  <c r="F95" i="17"/>
  <c r="E95" i="17"/>
  <c r="D95" i="17"/>
  <c r="C95" i="17"/>
  <c r="B95" i="17"/>
  <c r="K94" i="17"/>
  <c r="J94" i="17"/>
  <c r="I94" i="17"/>
  <c r="H94" i="17"/>
  <c r="G94" i="17"/>
  <c r="F94" i="17"/>
  <c r="E94" i="17"/>
  <c r="D94" i="17"/>
  <c r="C94" i="17"/>
  <c r="B94" i="17"/>
  <c r="K93" i="17"/>
  <c r="J93" i="17"/>
  <c r="I93" i="17"/>
  <c r="H93" i="17"/>
  <c r="G93" i="17"/>
  <c r="F93" i="17"/>
  <c r="E93" i="17"/>
  <c r="D93" i="17"/>
  <c r="C93" i="17"/>
  <c r="B93" i="17"/>
  <c r="K92" i="17"/>
  <c r="J92" i="17"/>
  <c r="I92" i="17"/>
  <c r="H92" i="17"/>
  <c r="G92" i="17"/>
  <c r="F92" i="17"/>
  <c r="E92" i="17"/>
  <c r="D92" i="17"/>
  <c r="C92" i="17"/>
  <c r="B92" i="17"/>
  <c r="K91" i="17"/>
  <c r="J91" i="17"/>
  <c r="I91" i="17"/>
  <c r="H91" i="17"/>
  <c r="G91" i="17"/>
  <c r="F91" i="17"/>
  <c r="E91" i="17"/>
  <c r="D91" i="17"/>
  <c r="C91" i="17"/>
  <c r="B91" i="17"/>
  <c r="K90" i="17"/>
  <c r="J90" i="17"/>
  <c r="I90" i="17"/>
  <c r="H90" i="17"/>
  <c r="G90" i="17"/>
  <c r="F90" i="17"/>
  <c r="E90" i="17"/>
  <c r="D90" i="17"/>
  <c r="C90" i="17"/>
  <c r="B90" i="17"/>
  <c r="K89" i="17"/>
  <c r="J89" i="17"/>
  <c r="I89" i="17"/>
  <c r="H89" i="17"/>
  <c r="G89" i="17"/>
  <c r="F89" i="17"/>
  <c r="E89" i="17"/>
  <c r="D89" i="17"/>
  <c r="C89" i="17"/>
  <c r="B89" i="17"/>
  <c r="K88" i="17"/>
  <c r="J88" i="17"/>
  <c r="I88" i="17"/>
  <c r="H88" i="17"/>
  <c r="G88" i="17"/>
  <c r="F88" i="17"/>
  <c r="E88" i="17"/>
  <c r="D88" i="17"/>
  <c r="C88" i="17"/>
  <c r="B88" i="17"/>
  <c r="K87" i="17"/>
  <c r="J87" i="17"/>
  <c r="I87" i="17"/>
  <c r="H87" i="17"/>
  <c r="G87" i="17"/>
  <c r="F87" i="17"/>
  <c r="E87" i="17"/>
  <c r="D87" i="17"/>
  <c r="C87" i="17"/>
  <c r="B87" i="17"/>
  <c r="K86" i="17"/>
  <c r="J86" i="17"/>
  <c r="I86" i="17"/>
  <c r="H86" i="17"/>
  <c r="G86" i="17"/>
  <c r="F86" i="17"/>
  <c r="E86" i="17"/>
  <c r="D86" i="17"/>
  <c r="C86" i="17"/>
  <c r="B86" i="17"/>
  <c r="K85" i="17"/>
  <c r="J85" i="17"/>
  <c r="I85" i="17"/>
  <c r="H85" i="17"/>
  <c r="G85" i="17"/>
  <c r="F85" i="17"/>
  <c r="E85" i="17"/>
  <c r="D85" i="17"/>
  <c r="C85" i="17"/>
  <c r="B85" i="17"/>
  <c r="K84" i="17"/>
  <c r="J84" i="17"/>
  <c r="I84" i="17"/>
  <c r="H84" i="17"/>
  <c r="G84" i="17"/>
  <c r="F84" i="17"/>
  <c r="E84" i="17"/>
  <c r="D84" i="17"/>
  <c r="C84" i="17"/>
  <c r="B84" i="17"/>
  <c r="K83" i="17"/>
  <c r="J83" i="17"/>
  <c r="I83" i="17"/>
  <c r="H83" i="17"/>
  <c r="G83" i="17"/>
  <c r="F83" i="17"/>
  <c r="E83" i="17"/>
  <c r="D83" i="17"/>
  <c r="C83" i="17"/>
  <c r="B83" i="17"/>
  <c r="K82" i="17"/>
  <c r="J82" i="17"/>
  <c r="I82" i="17"/>
  <c r="H82" i="17"/>
  <c r="G82" i="17"/>
  <c r="F82" i="17"/>
  <c r="E82" i="17"/>
  <c r="D82" i="17"/>
  <c r="C82" i="17"/>
  <c r="B82" i="17"/>
  <c r="K81" i="17"/>
  <c r="J81" i="17"/>
  <c r="I81" i="17"/>
  <c r="H81" i="17"/>
  <c r="G81" i="17"/>
  <c r="F81" i="17"/>
  <c r="E81" i="17"/>
  <c r="D81" i="17"/>
  <c r="C81" i="17"/>
  <c r="B81" i="17"/>
  <c r="K80" i="17"/>
  <c r="J80" i="17"/>
  <c r="I80" i="17"/>
  <c r="H80" i="17"/>
  <c r="G80" i="17"/>
  <c r="F80" i="17"/>
  <c r="E80" i="17"/>
  <c r="D80" i="17"/>
  <c r="C80" i="17"/>
  <c r="B80" i="17"/>
  <c r="K79" i="17"/>
  <c r="J79" i="17"/>
  <c r="I79" i="17"/>
  <c r="H79" i="17"/>
  <c r="G79" i="17"/>
  <c r="F79" i="17"/>
  <c r="E79" i="17"/>
  <c r="D79" i="17"/>
  <c r="C79" i="17"/>
  <c r="B79" i="17"/>
  <c r="K78" i="17"/>
  <c r="J78" i="17"/>
  <c r="I78" i="17"/>
  <c r="H78" i="17"/>
  <c r="G78" i="17"/>
  <c r="F78" i="17"/>
  <c r="E78" i="17"/>
  <c r="D78" i="17"/>
  <c r="C78" i="17"/>
  <c r="B78" i="17"/>
  <c r="K77" i="17"/>
  <c r="J77" i="17"/>
  <c r="I77" i="17"/>
  <c r="H77" i="17"/>
  <c r="G77" i="17"/>
  <c r="F77" i="17"/>
  <c r="E77" i="17"/>
  <c r="D77" i="17"/>
  <c r="C77" i="17"/>
  <c r="B77" i="17"/>
  <c r="K76" i="17"/>
  <c r="J76" i="17"/>
  <c r="I76" i="17"/>
  <c r="H76" i="17"/>
  <c r="G76" i="17"/>
  <c r="F76" i="17"/>
  <c r="E76" i="17"/>
  <c r="D76" i="17"/>
  <c r="C76" i="17"/>
  <c r="B76" i="17"/>
  <c r="K75" i="17"/>
  <c r="J75" i="17"/>
  <c r="I75" i="17"/>
  <c r="H75" i="17"/>
  <c r="G75" i="17"/>
  <c r="F75" i="17"/>
  <c r="E75" i="17"/>
  <c r="D75" i="17"/>
  <c r="C75" i="17"/>
  <c r="B75" i="17"/>
  <c r="K74" i="17"/>
  <c r="J74" i="17"/>
  <c r="I74" i="17"/>
  <c r="H74" i="17"/>
  <c r="G74" i="17"/>
  <c r="F74" i="17"/>
  <c r="E74" i="17"/>
  <c r="D74" i="17"/>
  <c r="C74" i="17"/>
  <c r="B74" i="17"/>
  <c r="K73" i="17"/>
  <c r="J73" i="17"/>
  <c r="I73" i="17"/>
  <c r="H73" i="17"/>
  <c r="G73" i="17"/>
  <c r="F73" i="17"/>
  <c r="E73" i="17"/>
  <c r="D73" i="17"/>
  <c r="C73" i="17"/>
  <c r="B73" i="17"/>
  <c r="K72" i="17"/>
  <c r="J72" i="17"/>
  <c r="I72" i="17"/>
  <c r="H72" i="17"/>
  <c r="G72" i="17"/>
  <c r="F72" i="17"/>
  <c r="E72" i="17"/>
  <c r="D72" i="17"/>
  <c r="C72" i="17"/>
  <c r="B72" i="17"/>
  <c r="K71" i="17"/>
  <c r="J71" i="17"/>
  <c r="I71" i="17"/>
  <c r="H71" i="17"/>
  <c r="G71" i="17"/>
  <c r="F71" i="17"/>
  <c r="E71" i="17"/>
  <c r="D71" i="17"/>
  <c r="C71" i="17"/>
  <c r="B71" i="17"/>
  <c r="K70" i="17"/>
  <c r="J70" i="17"/>
  <c r="I70" i="17"/>
  <c r="H70" i="17"/>
  <c r="G70" i="17"/>
  <c r="F70" i="17"/>
  <c r="E70" i="17"/>
  <c r="D70" i="17"/>
  <c r="C70" i="17"/>
  <c r="B70" i="17"/>
  <c r="K69" i="17"/>
  <c r="J69" i="17"/>
  <c r="I69" i="17"/>
  <c r="H69" i="17"/>
  <c r="G69" i="17"/>
  <c r="F69" i="17"/>
  <c r="E69" i="17"/>
  <c r="D69" i="17"/>
  <c r="C69" i="17"/>
  <c r="B69" i="17"/>
  <c r="K68" i="17"/>
  <c r="J68" i="17"/>
  <c r="I68" i="17"/>
  <c r="H68" i="17"/>
  <c r="G68" i="17"/>
  <c r="F68" i="17"/>
  <c r="E68" i="17"/>
  <c r="D68" i="17"/>
  <c r="C68" i="17"/>
  <c r="B68" i="17"/>
  <c r="K67" i="17"/>
  <c r="J67" i="17"/>
  <c r="I67" i="17"/>
  <c r="H67" i="17"/>
  <c r="G67" i="17"/>
  <c r="F67" i="17"/>
  <c r="E67" i="17"/>
  <c r="D67" i="17"/>
  <c r="C67" i="17"/>
  <c r="B67" i="17"/>
  <c r="K66" i="17"/>
  <c r="J66" i="17"/>
  <c r="I66" i="17"/>
  <c r="H66" i="17"/>
  <c r="G66" i="17"/>
  <c r="F66" i="17"/>
  <c r="E66" i="17"/>
  <c r="D66" i="17"/>
  <c r="C66" i="17"/>
  <c r="B66" i="17"/>
  <c r="K65" i="17"/>
  <c r="J65" i="17"/>
  <c r="I65" i="17"/>
  <c r="H65" i="17"/>
  <c r="G65" i="17"/>
  <c r="F65" i="17"/>
  <c r="E65" i="17"/>
  <c r="D65" i="17"/>
  <c r="C65" i="17"/>
  <c r="B65" i="17"/>
  <c r="K64" i="17"/>
  <c r="J64" i="17"/>
  <c r="I64" i="17"/>
  <c r="H64" i="17"/>
  <c r="G64" i="17"/>
  <c r="F64" i="17"/>
  <c r="E64" i="17"/>
  <c r="D64" i="17"/>
  <c r="C64" i="17"/>
  <c r="B64" i="17"/>
  <c r="K63" i="17"/>
  <c r="J63" i="17"/>
  <c r="I63" i="17"/>
  <c r="H63" i="17"/>
  <c r="G63" i="17"/>
  <c r="F63" i="17"/>
  <c r="E63" i="17"/>
  <c r="D63" i="17"/>
  <c r="C63" i="17"/>
  <c r="B63" i="17"/>
  <c r="K62" i="17"/>
  <c r="J62" i="17"/>
  <c r="I62" i="17"/>
  <c r="H62" i="17"/>
  <c r="G62" i="17"/>
  <c r="F62" i="17"/>
  <c r="E62" i="17"/>
  <c r="D62" i="17"/>
  <c r="C62" i="17"/>
  <c r="B62" i="17"/>
  <c r="K61" i="17"/>
  <c r="J61" i="17"/>
  <c r="I61" i="17"/>
  <c r="H61" i="17"/>
  <c r="G61" i="17"/>
  <c r="F61" i="17"/>
  <c r="E61" i="17"/>
  <c r="D61" i="17"/>
  <c r="C61" i="17"/>
  <c r="B61" i="17"/>
  <c r="K60" i="17"/>
  <c r="J60" i="17"/>
  <c r="I60" i="17"/>
  <c r="H60" i="17"/>
  <c r="G60" i="17"/>
  <c r="F60" i="17"/>
  <c r="E60" i="17"/>
  <c r="D60" i="17"/>
  <c r="C60" i="17"/>
  <c r="B60" i="17"/>
  <c r="K59" i="17"/>
  <c r="J59" i="17"/>
  <c r="I59" i="17"/>
  <c r="H59" i="17"/>
  <c r="G59" i="17"/>
  <c r="F59" i="17"/>
  <c r="E59" i="17"/>
  <c r="D59" i="17"/>
  <c r="C59" i="17"/>
  <c r="B59" i="17"/>
  <c r="K58" i="17"/>
  <c r="J58" i="17"/>
  <c r="I58" i="17"/>
  <c r="H58" i="17"/>
  <c r="G58" i="17"/>
  <c r="F58" i="17"/>
  <c r="E58" i="17"/>
  <c r="D58" i="17"/>
  <c r="C58" i="17"/>
  <c r="B58" i="17"/>
  <c r="K57" i="17"/>
  <c r="J57" i="17"/>
  <c r="I57" i="17"/>
  <c r="H57" i="17"/>
  <c r="G57" i="17"/>
  <c r="F57" i="17"/>
  <c r="E57" i="17"/>
  <c r="D57" i="17"/>
  <c r="C57" i="17"/>
  <c r="B57" i="17"/>
  <c r="K56" i="17"/>
  <c r="J56" i="17"/>
  <c r="I56" i="17"/>
  <c r="H56" i="17"/>
  <c r="G56" i="17"/>
  <c r="F56" i="17"/>
  <c r="E56" i="17"/>
  <c r="D56" i="17"/>
  <c r="C56" i="17"/>
  <c r="B56" i="17"/>
  <c r="K55" i="17"/>
  <c r="J55" i="17"/>
  <c r="I55" i="17"/>
  <c r="H55" i="17"/>
  <c r="G55" i="17"/>
  <c r="F55" i="17"/>
  <c r="E55" i="17"/>
  <c r="D55" i="17"/>
  <c r="C55" i="17"/>
  <c r="B55" i="17"/>
  <c r="K54" i="17"/>
  <c r="J54" i="17"/>
  <c r="I54" i="17"/>
  <c r="H54" i="17"/>
  <c r="G54" i="17"/>
  <c r="F54" i="17"/>
  <c r="E54" i="17"/>
  <c r="D54" i="17"/>
  <c r="C54" i="17"/>
  <c r="B54" i="17"/>
  <c r="K53" i="17"/>
  <c r="J53" i="17"/>
  <c r="I53" i="17"/>
  <c r="H53" i="17"/>
  <c r="G53" i="17"/>
  <c r="F53" i="17"/>
  <c r="E53" i="17"/>
  <c r="D53" i="17"/>
  <c r="C53" i="17"/>
  <c r="B53" i="17"/>
  <c r="K52" i="17"/>
  <c r="J52" i="17"/>
  <c r="I52" i="17"/>
  <c r="H52" i="17"/>
  <c r="G52" i="17"/>
  <c r="F52" i="17"/>
  <c r="E52" i="17"/>
  <c r="D52" i="17"/>
  <c r="C52" i="17"/>
  <c r="B52" i="17"/>
  <c r="K51" i="17"/>
  <c r="J51" i="17"/>
  <c r="I51" i="17"/>
  <c r="H51" i="17"/>
  <c r="G51" i="17"/>
  <c r="F51" i="17"/>
  <c r="E51" i="17"/>
  <c r="D51" i="17"/>
  <c r="C51" i="17"/>
  <c r="B51" i="17"/>
  <c r="K50" i="17"/>
  <c r="J50" i="17"/>
  <c r="I50" i="17"/>
  <c r="H50" i="17"/>
  <c r="G50" i="17"/>
  <c r="F50" i="17"/>
  <c r="E50" i="17"/>
  <c r="D50" i="17"/>
  <c r="C50" i="17"/>
  <c r="B50" i="17"/>
  <c r="K49" i="17"/>
  <c r="J49" i="17"/>
  <c r="I49" i="17"/>
  <c r="H49" i="17"/>
  <c r="G49" i="17"/>
  <c r="F49" i="17"/>
  <c r="E49" i="17"/>
  <c r="D49" i="17"/>
  <c r="C49" i="17"/>
  <c r="B49" i="17"/>
  <c r="K48" i="17"/>
  <c r="J48" i="17"/>
  <c r="I48" i="17"/>
  <c r="H48" i="17"/>
  <c r="G48" i="17"/>
  <c r="F48" i="17"/>
  <c r="E48" i="17"/>
  <c r="D48" i="17"/>
  <c r="C48" i="17"/>
  <c r="B48" i="17"/>
  <c r="K47" i="17"/>
  <c r="J47" i="17"/>
  <c r="I47" i="17"/>
  <c r="H47" i="17"/>
  <c r="G47" i="17"/>
  <c r="F47" i="17"/>
  <c r="E47" i="17"/>
  <c r="D47" i="17"/>
  <c r="C47" i="17"/>
  <c r="B47" i="17"/>
  <c r="K46" i="17"/>
  <c r="J46" i="17"/>
  <c r="I46" i="17"/>
  <c r="H46" i="17"/>
  <c r="G46" i="17"/>
  <c r="F46" i="17"/>
  <c r="E46" i="17"/>
  <c r="D46" i="17"/>
  <c r="C46" i="17"/>
  <c r="B46" i="17"/>
  <c r="K45" i="17"/>
  <c r="J45" i="17"/>
  <c r="I45" i="17"/>
  <c r="H45" i="17"/>
  <c r="G45" i="17"/>
  <c r="F45" i="17"/>
  <c r="E45" i="17"/>
  <c r="D45" i="17"/>
  <c r="C45" i="17"/>
  <c r="B45" i="17"/>
  <c r="K44" i="17"/>
  <c r="J44" i="17"/>
  <c r="I44" i="17"/>
  <c r="H44" i="17"/>
  <c r="G44" i="17"/>
  <c r="F44" i="17"/>
  <c r="E44" i="17"/>
  <c r="D44" i="17"/>
  <c r="C44" i="17"/>
  <c r="B44" i="17"/>
  <c r="K43" i="17"/>
  <c r="J43" i="17"/>
  <c r="I43" i="17"/>
  <c r="H43" i="17"/>
  <c r="G43" i="17"/>
  <c r="F43" i="17"/>
  <c r="E43" i="17"/>
  <c r="D43" i="17"/>
  <c r="C43" i="17"/>
  <c r="B43" i="17"/>
  <c r="K42" i="17"/>
  <c r="J42" i="17"/>
  <c r="I42" i="17"/>
  <c r="H42" i="17"/>
  <c r="G42" i="17"/>
  <c r="F42" i="17"/>
  <c r="E42" i="17"/>
  <c r="D42" i="17"/>
  <c r="C42" i="17"/>
  <c r="B42" i="17"/>
  <c r="K41" i="17"/>
  <c r="J41" i="17"/>
  <c r="I41" i="17"/>
  <c r="H41" i="17"/>
  <c r="G41" i="17"/>
  <c r="F41" i="17"/>
  <c r="E41" i="17"/>
  <c r="D41" i="17"/>
  <c r="C41" i="17"/>
  <c r="B41" i="17"/>
  <c r="K40" i="17"/>
  <c r="J40" i="17"/>
  <c r="I40" i="17"/>
  <c r="H40" i="17"/>
  <c r="G40" i="17"/>
  <c r="F40" i="17"/>
  <c r="E40" i="17"/>
  <c r="D40" i="17"/>
  <c r="C40" i="17"/>
  <c r="B40" i="17"/>
  <c r="K39" i="17"/>
  <c r="J39" i="17"/>
  <c r="I39" i="17"/>
  <c r="H39" i="17"/>
  <c r="G39" i="17"/>
  <c r="F39" i="17"/>
  <c r="E39" i="17"/>
  <c r="D39" i="17"/>
  <c r="C39" i="17"/>
  <c r="B39" i="17"/>
  <c r="K38" i="17"/>
  <c r="J38" i="17"/>
  <c r="I38" i="17"/>
  <c r="H38" i="17"/>
  <c r="G38" i="17"/>
  <c r="F38" i="17"/>
  <c r="E38" i="17"/>
  <c r="D38" i="17"/>
  <c r="C38" i="17"/>
  <c r="B38" i="17"/>
  <c r="K37" i="17"/>
  <c r="J37" i="17"/>
  <c r="I37" i="17"/>
  <c r="H37" i="17"/>
  <c r="G37" i="17"/>
  <c r="F37" i="17"/>
  <c r="E37" i="17"/>
  <c r="D37" i="17"/>
  <c r="C37" i="17"/>
  <c r="B37" i="17"/>
  <c r="K36" i="17"/>
  <c r="J36" i="17"/>
  <c r="I36" i="17"/>
  <c r="H36" i="17"/>
  <c r="G36" i="17"/>
  <c r="F36" i="17"/>
  <c r="E36" i="17"/>
  <c r="D36" i="17"/>
  <c r="C36" i="17"/>
  <c r="B36" i="17"/>
  <c r="K35" i="17"/>
  <c r="J35" i="17"/>
  <c r="I35" i="17"/>
  <c r="H35" i="17"/>
  <c r="G35" i="17"/>
  <c r="F35" i="17"/>
  <c r="E35" i="17"/>
  <c r="D35" i="17"/>
  <c r="C35" i="17"/>
  <c r="B35" i="17"/>
  <c r="K34" i="17"/>
  <c r="J34" i="17"/>
  <c r="I34" i="17"/>
  <c r="H34" i="17"/>
  <c r="G34" i="17"/>
  <c r="F34" i="17"/>
  <c r="E34" i="17"/>
  <c r="D34" i="17"/>
  <c r="C34" i="17"/>
  <c r="B34" i="17"/>
  <c r="K33" i="17"/>
  <c r="J33" i="17"/>
  <c r="I33" i="17"/>
  <c r="H33" i="17"/>
  <c r="G33" i="17"/>
  <c r="F33" i="17"/>
  <c r="E33" i="17"/>
  <c r="D33" i="17"/>
  <c r="C33" i="17"/>
  <c r="B33" i="17"/>
  <c r="K32" i="17"/>
  <c r="J32" i="17"/>
  <c r="I32" i="17"/>
  <c r="H32" i="17"/>
  <c r="G32" i="17"/>
  <c r="F32" i="17"/>
  <c r="E32" i="17"/>
  <c r="D32" i="17"/>
  <c r="C32" i="17"/>
  <c r="B32" i="17"/>
  <c r="K31" i="17"/>
  <c r="J31" i="17"/>
  <c r="I31" i="17"/>
  <c r="H31" i="17"/>
  <c r="G31" i="17"/>
  <c r="F31" i="17"/>
  <c r="E31" i="17"/>
  <c r="D31" i="17"/>
  <c r="C31" i="17"/>
  <c r="B31" i="17"/>
  <c r="K30" i="17"/>
  <c r="J30" i="17"/>
  <c r="I30" i="17"/>
  <c r="H30" i="17"/>
  <c r="G30" i="17"/>
  <c r="F30" i="17"/>
  <c r="E30" i="17"/>
  <c r="D30" i="17"/>
  <c r="C30" i="17"/>
  <c r="B30" i="17"/>
  <c r="K29" i="17"/>
  <c r="J29" i="17"/>
  <c r="I29" i="17"/>
  <c r="H29" i="17"/>
  <c r="G29" i="17"/>
  <c r="F29" i="17"/>
  <c r="E29" i="17"/>
  <c r="D29" i="17"/>
  <c r="C29" i="17"/>
  <c r="B29" i="17"/>
  <c r="K28" i="17"/>
  <c r="J28" i="17"/>
  <c r="I28" i="17"/>
  <c r="H28" i="17"/>
  <c r="G28" i="17"/>
  <c r="F28" i="17"/>
  <c r="E28" i="17"/>
  <c r="D28" i="17"/>
  <c r="C28" i="17"/>
  <c r="B28" i="17"/>
  <c r="K27" i="17"/>
  <c r="J27" i="17"/>
  <c r="I27" i="17"/>
  <c r="H27" i="17"/>
  <c r="G27" i="17"/>
  <c r="F27" i="17"/>
  <c r="E27" i="17"/>
  <c r="D27" i="17"/>
  <c r="C27" i="17"/>
  <c r="B27" i="17"/>
  <c r="K26" i="17"/>
  <c r="J26" i="17"/>
  <c r="I26" i="17"/>
  <c r="H26" i="17"/>
  <c r="G26" i="17"/>
  <c r="F26" i="17"/>
  <c r="E26" i="17"/>
  <c r="D26" i="17"/>
  <c r="C26" i="17"/>
  <c r="B26" i="17"/>
  <c r="K25" i="17"/>
  <c r="J25" i="17"/>
  <c r="I25" i="17"/>
  <c r="H25" i="17"/>
  <c r="G25" i="17"/>
  <c r="F25" i="17"/>
  <c r="E25" i="17"/>
  <c r="D25" i="17"/>
  <c r="C25" i="17"/>
  <c r="B25" i="17"/>
  <c r="K24" i="17"/>
  <c r="J24" i="17"/>
  <c r="I24" i="17"/>
  <c r="H24" i="17"/>
  <c r="G24" i="17"/>
  <c r="F24" i="17"/>
  <c r="E24" i="17"/>
  <c r="D24" i="17"/>
  <c r="C24" i="17"/>
  <c r="B24" i="17"/>
  <c r="K23" i="17"/>
  <c r="J23" i="17"/>
  <c r="I23" i="17"/>
  <c r="H23" i="17"/>
  <c r="G23" i="17"/>
  <c r="F23" i="17"/>
  <c r="E23" i="17"/>
  <c r="D23" i="17"/>
  <c r="C23" i="17"/>
  <c r="B23" i="17"/>
  <c r="K22" i="17"/>
  <c r="J22" i="17"/>
  <c r="I22" i="17"/>
  <c r="H22" i="17"/>
  <c r="G22" i="17"/>
  <c r="F22" i="17"/>
  <c r="E22" i="17"/>
  <c r="D22" i="17"/>
  <c r="C22" i="17"/>
  <c r="B22" i="17"/>
  <c r="K21" i="17"/>
  <c r="J21" i="17"/>
  <c r="I21" i="17"/>
  <c r="H21" i="17"/>
  <c r="G21" i="17"/>
  <c r="F21" i="17"/>
  <c r="E21" i="17"/>
  <c r="D21" i="17"/>
  <c r="C21" i="17"/>
  <c r="B21" i="17"/>
  <c r="K20" i="17"/>
  <c r="J20" i="17"/>
  <c r="I20" i="17"/>
  <c r="H20" i="17"/>
  <c r="G20" i="17"/>
  <c r="F20" i="17"/>
  <c r="E20" i="17"/>
  <c r="D20" i="17"/>
  <c r="C20" i="17"/>
  <c r="B20" i="17"/>
  <c r="K19" i="17"/>
  <c r="J19" i="17"/>
  <c r="I19" i="17"/>
  <c r="H19" i="17"/>
  <c r="G19" i="17"/>
  <c r="F19" i="17"/>
  <c r="E19" i="17"/>
  <c r="D19" i="17"/>
  <c r="C19" i="17"/>
  <c r="B19" i="17"/>
  <c r="K18" i="17"/>
  <c r="J18" i="17"/>
  <c r="I18" i="17"/>
  <c r="H18" i="17"/>
  <c r="G18" i="17"/>
  <c r="F18" i="17"/>
  <c r="E18" i="17"/>
  <c r="D18" i="17"/>
  <c r="C18" i="17"/>
  <c r="B18" i="17"/>
  <c r="K17" i="17"/>
  <c r="J17" i="17"/>
  <c r="I17" i="17"/>
  <c r="H17" i="17"/>
  <c r="G17" i="17"/>
  <c r="F17" i="17"/>
  <c r="E17" i="17"/>
  <c r="D17" i="17"/>
  <c r="C17" i="17"/>
  <c r="B17" i="17"/>
  <c r="K16" i="17"/>
  <c r="J16" i="17"/>
  <c r="I16" i="17"/>
  <c r="H16" i="17"/>
  <c r="G16" i="17"/>
  <c r="F16" i="17"/>
  <c r="E16" i="17"/>
  <c r="D16" i="17"/>
  <c r="C16" i="17"/>
  <c r="B16" i="17"/>
  <c r="K15" i="17"/>
  <c r="J15" i="17"/>
  <c r="I15" i="17"/>
  <c r="H15" i="17"/>
  <c r="G15" i="17"/>
  <c r="F15" i="17"/>
  <c r="E15" i="17"/>
  <c r="D15" i="17"/>
  <c r="C15" i="17"/>
  <c r="B15" i="17"/>
  <c r="K14" i="17"/>
  <c r="J14" i="17"/>
  <c r="I14" i="17"/>
  <c r="H14" i="17"/>
  <c r="G14" i="17"/>
  <c r="F14" i="17"/>
  <c r="E14" i="17"/>
  <c r="D14" i="17"/>
  <c r="C14" i="17"/>
  <c r="B14" i="17"/>
  <c r="K13" i="17"/>
  <c r="J13" i="17"/>
  <c r="I13" i="17"/>
  <c r="H13" i="17"/>
  <c r="G13" i="17"/>
  <c r="F13" i="17"/>
  <c r="E13" i="17"/>
  <c r="D13" i="17"/>
  <c r="C13" i="17"/>
  <c r="B13" i="17"/>
  <c r="K12" i="17"/>
  <c r="J12" i="17"/>
  <c r="I12" i="17"/>
  <c r="H12" i="17"/>
  <c r="G12" i="17"/>
  <c r="F12" i="17"/>
  <c r="E12" i="17"/>
  <c r="D12" i="17"/>
  <c r="C12" i="17"/>
  <c r="B12" i="17"/>
  <c r="K11" i="17"/>
  <c r="J11" i="17"/>
  <c r="I11" i="17"/>
  <c r="H11" i="17"/>
  <c r="G11" i="17"/>
  <c r="F11" i="17"/>
  <c r="E11" i="17"/>
  <c r="D11" i="17"/>
  <c r="C11" i="17"/>
  <c r="B11" i="17"/>
  <c r="K10" i="17"/>
  <c r="J10" i="17"/>
  <c r="I10" i="17"/>
  <c r="H10" i="17"/>
  <c r="G10" i="17"/>
  <c r="F10" i="17"/>
  <c r="E10" i="17"/>
  <c r="D10" i="17"/>
  <c r="C10" i="17"/>
  <c r="B10" i="17"/>
  <c r="K9" i="17"/>
  <c r="J9" i="17"/>
  <c r="I9" i="17"/>
  <c r="H9" i="17"/>
  <c r="G9" i="17"/>
  <c r="F9" i="17"/>
  <c r="E9" i="17"/>
  <c r="D9" i="17"/>
  <c r="C9" i="17"/>
  <c r="B9" i="17"/>
  <c r="K8" i="17"/>
  <c r="J8" i="17"/>
  <c r="I8" i="17"/>
  <c r="H8" i="17"/>
  <c r="G8" i="17"/>
  <c r="F8" i="17"/>
  <c r="E8" i="17"/>
  <c r="D8" i="17"/>
  <c r="C8" i="17"/>
  <c r="B8" i="17"/>
  <c r="A4" i="17"/>
</calcChain>
</file>

<file path=xl/sharedStrings.xml><?xml version="1.0" encoding="utf-8"?>
<sst xmlns="http://schemas.openxmlformats.org/spreadsheetml/2006/main" count="258" uniqueCount="28">
  <si>
    <t>Fonte: Banco Central do Brasil</t>
  </si>
  <si>
    <t>Índice base fixa (2003=100)</t>
  </si>
  <si>
    <t xml:space="preserve">Índice de Atividade Econômica do Banco Central - COM AJUSTE </t>
  </si>
  <si>
    <t>CE</t>
  </si>
  <si>
    <t>PE</t>
  </si>
  <si>
    <t>SP</t>
  </si>
  <si>
    <t>BA</t>
  </si>
  <si>
    <t>PR</t>
  </si>
  <si>
    <t>RJ</t>
  </si>
  <si>
    <t>RS</t>
  </si>
  <si>
    <t>SC</t>
  </si>
  <si>
    <t>MG</t>
  </si>
  <si>
    <t xml:space="preserve">Índice de Atividade Econômica do Banco Central  </t>
  </si>
  <si>
    <t>-</t>
  </si>
  <si>
    <t>IBC-BR</t>
  </si>
  <si>
    <t>Para atualizar</t>
  </si>
  <si>
    <t xml:space="preserve">Mês/Mês ano anterior </t>
  </si>
  <si>
    <t>Semestre/Semestre ano anterior</t>
  </si>
  <si>
    <t>17439; 20419; 20441; 20442; 20444; 20447; 20448; 20450; 20452; 20469</t>
  </si>
  <si>
    <t>Índice de Atividade Econômica do Banco Central - com ajuste</t>
  </si>
  <si>
    <t>https://www3.bcb.gov.br/sgspub/localizarseries/localizarSeries.do?method=prepararTelaLocalizarSeries</t>
  </si>
  <si>
    <t>CTRL + Shift + A</t>
  </si>
  <si>
    <t>Trim /Trim ano anterior</t>
  </si>
  <si>
    <t xml:space="preserve">Trim findo em /Trim findo no mês anterior </t>
  </si>
  <si>
    <t>Por Maria Clara Quintal</t>
  </si>
  <si>
    <t xml:space="preserve">Fonte: </t>
  </si>
  <si>
    <t>Atualizado em 29 de Novembro de 2016</t>
  </si>
  <si>
    <t>Mês de referência: Set/16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</si>
</sst>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00FF00"/>
      </top>
      <bottom style="thin">
        <color rgb="FF00FF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6">
    <xf numFmtId="0" fontId="0" fillId="0" borderId="0" xfId="0"/>
    <xf numFmtId="2" fontId="0" fillId="2" borderId="0" xfId="0" applyNumberFormat="1" applyFill="1" applyBorder="1" applyAlignment="1">
      <alignment horizontal="center" vertical="center"/>
    </xf>
    <xf numFmtId="0" fontId="1" fillId="2" borderId="0" xfId="0" applyFont="1" applyFill="1" applyBorder="1"/>
    <xf numFmtId="2" fontId="1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2" fontId="0" fillId="2" borderId="0" xfId="0" applyNumberFormat="1" applyFill="1" applyBorder="1" applyAlignment="1">
      <alignment vertical="center"/>
    </xf>
    <xf numFmtId="17" fontId="4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 vertical="center"/>
    </xf>
    <xf numFmtId="0" fontId="5" fillId="4" borderId="0" xfId="0" applyFont="1" applyFill="1" applyBorder="1" applyAlignment="1">
      <alignment horizontal="center" vertical="center"/>
    </xf>
    <xf numFmtId="17" fontId="2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2" fontId="0" fillId="2" borderId="0" xfId="0" applyNumberFormat="1" applyFill="1" applyBorder="1"/>
    <xf numFmtId="0" fontId="0" fillId="2" borderId="0" xfId="0" applyNumberFormat="1" applyFill="1" applyBorder="1" applyAlignment="1">
      <alignment horizontal="center" vertical="center"/>
    </xf>
    <xf numFmtId="2" fontId="8" fillId="2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8" fillId="2" borderId="0" xfId="0" applyFont="1" applyFill="1" applyBorder="1"/>
    <xf numFmtId="17" fontId="7" fillId="4" borderId="1" xfId="0" applyNumberFormat="1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2" fontId="8" fillId="5" borderId="2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 vertical="center"/>
    </xf>
    <xf numFmtId="164" fontId="8" fillId="5" borderId="2" xfId="0" applyNumberFormat="1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10" fillId="3" borderId="0" xfId="0" applyNumberFormat="1" applyFont="1" applyFill="1" applyBorder="1" applyAlignment="1">
      <alignment horizontal="center"/>
    </xf>
    <xf numFmtId="164" fontId="11" fillId="0" borderId="0" xfId="0" applyNumberFormat="1" applyFont="1" applyAlignment="1">
      <alignment horizontal="center" vertical="center"/>
    </xf>
    <xf numFmtId="2" fontId="0" fillId="2" borderId="0" xfId="0" applyNumberFormat="1" applyFill="1" applyBorder="1" applyAlignment="1">
      <alignment horizontal="left" vertical="center"/>
    </xf>
    <xf numFmtId="0" fontId="13" fillId="0" borderId="0" xfId="1" applyAlignment="1">
      <alignment vertical="center"/>
    </xf>
    <xf numFmtId="0" fontId="12" fillId="2" borderId="0" xfId="0" applyNumberFormat="1" applyFont="1" applyFill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64" fontId="14" fillId="2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vertical="center"/>
    </xf>
    <xf numFmtId="14" fontId="0" fillId="2" borderId="0" xfId="0" applyNumberFormat="1" applyFill="1" applyBorder="1"/>
    <xf numFmtId="17" fontId="0" fillId="2" borderId="0" xfId="0" applyNumberFormat="1" applyFill="1" applyBorder="1"/>
    <xf numFmtId="20" fontId="0" fillId="2" borderId="0" xfId="0" applyNumberFormat="1" applyFill="1" applyBorder="1"/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3.bcb.gov.br/sgspub/localizarseries/localizarSeries.do?method=prepararTelaLocalizarSeri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N21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N11" sqref="N11:N14"/>
    </sheetView>
  </sheetViews>
  <sheetFormatPr defaultRowHeight="15.75" x14ac:dyDescent="0.25"/>
  <cols>
    <col min="1" max="1" width="28.28515625" style="12" customWidth="1"/>
    <col min="2" max="2" width="15.5703125" style="21" customWidth="1"/>
    <col min="3" max="4" width="11.5703125" style="12" customWidth="1"/>
    <col min="5" max="5" width="13.7109375" style="12" customWidth="1"/>
    <col min="6" max="6" width="14.140625" style="12" customWidth="1"/>
    <col min="7" max="11" width="11.5703125" style="12" customWidth="1"/>
    <col min="12" max="13" width="9.140625" style="12"/>
    <col min="14" max="14" width="10.7109375" style="12" bestFit="1" customWidth="1"/>
    <col min="15" max="16384" width="9.140625" style="12"/>
  </cols>
  <sheetData>
    <row r="1" spans="1:14" s="4" customFormat="1" ht="18.75" x14ac:dyDescent="0.3">
      <c r="A1" s="2" t="s">
        <v>12</v>
      </c>
      <c r="B1" s="19"/>
    </row>
    <row r="2" spans="1:14" s="6" customFormat="1" ht="16.5" thickBot="1" x14ac:dyDescent="0.3">
      <c r="A2" s="5" t="s">
        <v>0</v>
      </c>
      <c r="B2" s="19"/>
    </row>
    <row r="3" spans="1:14" s="6" customFormat="1" ht="22.5" customHeight="1" thickTop="1" thickBot="1" x14ac:dyDescent="0.3">
      <c r="A3" s="7" t="s">
        <v>1</v>
      </c>
      <c r="B3" s="19"/>
      <c r="E3" s="29" t="s">
        <v>15</v>
      </c>
      <c r="F3" s="30" t="s">
        <v>21</v>
      </c>
    </row>
    <row r="4" spans="1:14" s="6" customFormat="1" ht="16.5" thickTop="1" x14ac:dyDescent="0.25">
      <c r="A4" s="5" t="s">
        <v>26</v>
      </c>
      <c r="B4" s="19"/>
      <c r="C4" s="39" t="s">
        <v>24</v>
      </c>
      <c r="D4" s="39"/>
      <c r="E4" s="39" t="s">
        <v>27</v>
      </c>
    </row>
    <row r="5" spans="1:14" s="16" customFormat="1" x14ac:dyDescent="0.25">
      <c r="B5" s="20"/>
    </row>
    <row r="6" spans="1:14" ht="17.25" x14ac:dyDescent="0.25">
      <c r="A6" s="22" t="s">
        <v>16</v>
      </c>
      <c r="B6" s="23" t="s">
        <v>14</v>
      </c>
      <c r="C6" s="31" t="s">
        <v>11</v>
      </c>
      <c r="D6" s="31" t="s">
        <v>9</v>
      </c>
      <c r="E6" s="31" t="s">
        <v>10</v>
      </c>
      <c r="F6" s="31" t="s">
        <v>8</v>
      </c>
      <c r="G6" s="31" t="s">
        <v>3</v>
      </c>
      <c r="H6" s="31" t="s">
        <v>5</v>
      </c>
      <c r="I6" s="31" t="s">
        <v>4</v>
      </c>
      <c r="J6" s="31" t="s">
        <v>7</v>
      </c>
      <c r="K6" s="31" t="s">
        <v>6</v>
      </c>
    </row>
    <row r="7" spans="1:14" ht="17.25" customHeight="1" x14ac:dyDescent="0.25">
      <c r="A7" s="15">
        <f ca="1">A8-30</f>
        <v>42573</v>
      </c>
      <c r="B7" s="24">
        <f>((Dados!B169/Dados!B157)-1)*100</f>
        <v>-3.4909666738645373</v>
      </c>
      <c r="C7" s="25">
        <f>((Dados!C169/Dados!C157)-1)*100</f>
        <v>-0.65431554183209562</v>
      </c>
      <c r="D7" s="25">
        <f>((Dados!D169/Dados!D157)-1)*100</f>
        <v>-3.7117330180002628</v>
      </c>
      <c r="E7" s="25">
        <f>((Dados!E169/Dados!E157)-1)*100</f>
        <v>-2.7376589782280525</v>
      </c>
      <c r="F7" s="25">
        <f>((Dados!F169/Dados!F157)-1)*100</f>
        <v>-0.28722196246075971</v>
      </c>
      <c r="G7" s="25">
        <f>((Dados!G169/Dados!G157)-1)*100</f>
        <v>-1.2638111094293802</v>
      </c>
      <c r="H7" s="25">
        <f>((Dados!H169/Dados!H157)-1)*100</f>
        <v>-1.1398387545176414</v>
      </c>
      <c r="I7" s="25">
        <f>((Dados!I169/Dados!I157)-1)*100</f>
        <v>-2.2479462285287632</v>
      </c>
      <c r="J7" s="25">
        <f>((Dados!J169/Dados!J157)-1)*100</f>
        <v>1.4207650273224015</v>
      </c>
      <c r="K7" s="26">
        <f>((Dados!K169/Dados!K157)-1)*100</f>
        <v>-9.1363697796999492</v>
      </c>
    </row>
    <row r="8" spans="1:14" ht="17.25" customHeight="1" x14ac:dyDescent="0.25">
      <c r="A8" s="15">
        <f ca="1">A9-30</f>
        <v>42603</v>
      </c>
      <c r="B8" s="24">
        <f>((Dados!B170/Dados!B158)-1)*100</f>
        <v>-4.3663088118740534</v>
      </c>
      <c r="C8" s="25">
        <f>((Dados!C170/Dados!C158)-1)*100</f>
        <v>-3.2688799708135874</v>
      </c>
      <c r="D8" s="25">
        <f>((Dados!D170/Dados!D158)-1)*100</f>
        <v>-3.9594782493544312</v>
      </c>
      <c r="E8" s="25">
        <f>((Dados!E170/Dados!E158)-1)*100</f>
        <v>-3.4268811774042285</v>
      </c>
      <c r="F8" s="25">
        <f>((Dados!F170/Dados!F158)-1)*100</f>
        <v>-1.7174292231316279</v>
      </c>
      <c r="G8" s="25">
        <f>((Dados!G170/Dados!G158)-1)*100</f>
        <v>-0.68560981183820591</v>
      </c>
      <c r="H8" s="25">
        <f>((Dados!H170/Dados!H158)-1)*100</f>
        <v>-2.3265447014152563</v>
      </c>
      <c r="I8" s="25">
        <f>((Dados!I170/Dados!I158)-1)*100</f>
        <v>-3.3557046979865723</v>
      </c>
      <c r="J8" s="25">
        <f>((Dados!J170/Dados!J158)-1)*100</f>
        <v>-2.4740461102871869</v>
      </c>
      <c r="K8" s="26">
        <f>((Dados!K170/Dados!K158)-1)*100</f>
        <v>-6.3261831801157626</v>
      </c>
    </row>
    <row r="9" spans="1:14" ht="17.25" customHeight="1" x14ac:dyDescent="0.25">
      <c r="A9" s="15">
        <f ca="1">TODAY()-90</f>
        <v>42633</v>
      </c>
      <c r="B9" s="24">
        <f>((Dados!B171/Dados!B159)-1)*100</f>
        <v>-3.4360017434258205</v>
      </c>
      <c r="C9" s="25">
        <f>((Dados!C171/Dados!C159)-1)*100</f>
        <v>-2.1434885091337619</v>
      </c>
      <c r="D9" s="25">
        <f>((Dados!D171/Dados!D159)-1)*100</f>
        <v>-2.8189712758851071</v>
      </c>
      <c r="E9" s="25">
        <f>((Dados!E171/Dados!E159)-1)*100</f>
        <v>-3.0135792607653755</v>
      </c>
      <c r="F9" s="25">
        <f>((Dados!F171/Dados!F159)-1)*100</f>
        <v>-0.7382550335570448</v>
      </c>
      <c r="G9" s="25">
        <f>((Dados!G171/Dados!G159)-1)*100</f>
        <v>1.5627417607922078</v>
      </c>
      <c r="H9" s="25">
        <f>((Dados!H171/Dados!H159)-1)*100</f>
        <v>-1.5648908053971344</v>
      </c>
      <c r="I9" s="25">
        <f>((Dados!I171/Dados!I159)-1)*100</f>
        <v>-2.0033262775929872</v>
      </c>
      <c r="J9" s="25">
        <f>((Dados!J171/Dados!J159)-1)*100</f>
        <v>-2.762839472976597</v>
      </c>
      <c r="K9" s="26">
        <f>((Dados!K171/Dados!K159)-1)*100</f>
        <v>-4.7736625514403386</v>
      </c>
    </row>
    <row r="10" spans="1:14" x14ac:dyDescent="0.25">
      <c r="A10" s="22" t="s">
        <v>22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</row>
    <row r="11" spans="1:14" ht="17.25" customHeight="1" x14ac:dyDescent="0.25">
      <c r="A11" s="15">
        <f ca="1">A7</f>
        <v>42573</v>
      </c>
      <c r="B11" s="24">
        <f>(('MM3'!B168/'MM3'!B156)-1)*100</f>
        <v>-4.220423708640797</v>
      </c>
      <c r="C11" s="25">
        <f>(('MM3'!C168/'MM3'!C156)-1)*100</f>
        <v>-1.814824712713492</v>
      </c>
      <c r="D11" s="25">
        <f>(('MM3'!D168/'MM3'!D156)-1)*100</f>
        <v>-5.1578304848273415</v>
      </c>
      <c r="E11" s="25">
        <f>(('MM3'!E168/'MM3'!E156)-1)*100</f>
        <v>-3.9414146225291602</v>
      </c>
      <c r="F11" s="25">
        <f>(('MM3'!F168/'MM3'!F156)-1)*100</f>
        <v>-1.4201524282169697</v>
      </c>
      <c r="G11" s="25">
        <f>(('MM3'!G168/'MM3'!G156)-1)*100</f>
        <v>-0.10378170404494735</v>
      </c>
      <c r="H11" s="25">
        <f>(('MM3'!H168/'MM3'!H156)-1)*100</f>
        <v>-2.0367861489356653</v>
      </c>
      <c r="I11" s="25">
        <f>(('MM3'!I168/'MM3'!I156)-1)*100</f>
        <v>-2.5912517357667086</v>
      </c>
      <c r="J11" s="25">
        <f>(('MM3'!J168/'MM3'!J156)-1)*100</f>
        <v>-0.84531609902274152</v>
      </c>
      <c r="K11" s="26">
        <f>(('MM3'!K168/'MM3'!K156)-1)*100</f>
        <v>-6.5191926473238233</v>
      </c>
      <c r="N11" s="43"/>
    </row>
    <row r="12" spans="1:14" ht="17.25" customHeight="1" x14ac:dyDescent="0.25">
      <c r="A12" s="15">
        <f ca="1">A8</f>
        <v>42603</v>
      </c>
      <c r="B12" s="24">
        <f>(('MM3'!B169/'MM3'!B157)-1)*100</f>
        <v>-3.9623635318904338</v>
      </c>
      <c r="C12" s="25">
        <f>(('MM3'!C169/'MM3'!C157)-1)*100</f>
        <v>-1.7702135960206866</v>
      </c>
      <c r="D12" s="25">
        <f>(('MM3'!D169/'MM3'!D157)-1)*100</f>
        <v>-4.3917512217571231</v>
      </c>
      <c r="E12" s="25">
        <f>(('MM3'!E169/'MM3'!E157)-1)*100</f>
        <v>-3.4080846277194099</v>
      </c>
      <c r="F12" s="25">
        <f>(('MM3'!F169/'MM3'!F157)-1)*100</f>
        <v>-1.1152912891520539</v>
      </c>
      <c r="G12" s="25">
        <f>(('MM3'!G169/'MM3'!G157)-1)*100</f>
        <v>2.5425883549456962E-2</v>
      </c>
      <c r="H12" s="25">
        <f>(('MM3'!H169/'MM3'!H157)-1)*100</f>
        <v>-1.6159893035800788</v>
      </c>
      <c r="I12" s="25">
        <f>(('MM3'!I169/'MM3'!I157)-1)*100</f>
        <v>-2.6132101249472517</v>
      </c>
      <c r="J12" s="25">
        <f>(('MM3'!J169/'MM3'!J157)-1)*100</f>
        <v>-0.77357260113787296</v>
      </c>
      <c r="K12" s="26">
        <f>(('MM3'!K169/'MM3'!K157)-1)*100</f>
        <v>-7.2081424476992169</v>
      </c>
    </row>
    <row r="13" spans="1:14" ht="17.25" customHeight="1" x14ac:dyDescent="0.25">
      <c r="A13" s="15">
        <f ca="1">A9</f>
        <v>42633</v>
      </c>
      <c r="B13" s="24">
        <f>(('MM3'!B170/'MM3'!B158)-1)*100</f>
        <v>-3.7652270210409733</v>
      </c>
      <c r="C13" s="25">
        <f>(('MM3'!C170/'MM3'!C158)-1)*100</f>
        <v>-2.0252916860308834</v>
      </c>
      <c r="D13" s="25">
        <f>(('MM3'!D170/'MM3'!D158)-1)*100</f>
        <v>-3.4992824815100798</v>
      </c>
      <c r="E13" s="25">
        <f>(('MM3'!E170/'MM3'!E158)-1)*100</f>
        <v>-3.0590387253604079</v>
      </c>
      <c r="F13" s="25">
        <f>(('MM3'!F170/'MM3'!F158)-1)*100</f>
        <v>-0.91341536949773872</v>
      </c>
      <c r="G13" s="25">
        <f>(('MM3'!G170/'MM3'!G158)-1)*100</f>
        <v>-0.14006672269333276</v>
      </c>
      <c r="H13" s="25">
        <f>(('MM3'!H170/'MM3'!H158)-1)*100</f>
        <v>-1.6785739058056359</v>
      </c>
      <c r="I13" s="25">
        <f>(('MM3'!I170/'MM3'!I158)-1)*100</f>
        <v>-2.5382232437293872</v>
      </c>
      <c r="J13" s="25">
        <f>(('MM3'!J170/'MM3'!J158)-1)*100</f>
        <v>-1.2852311161217767</v>
      </c>
      <c r="K13" s="26">
        <f>(('MM3'!K170/'MM3'!K158)-1)*100</f>
        <v>-6.7562353902366983</v>
      </c>
    </row>
    <row r="14" spans="1:14" x14ac:dyDescent="0.25">
      <c r="A14" s="22" t="s">
        <v>23</v>
      </c>
      <c r="B14" s="27"/>
      <c r="C14" s="27"/>
      <c r="D14" s="27"/>
      <c r="E14" s="27"/>
      <c r="F14" s="27"/>
      <c r="G14" s="27"/>
      <c r="H14" s="27"/>
      <c r="I14" s="27"/>
      <c r="J14" s="27"/>
      <c r="K14" s="27"/>
      <c r="N14" s="44"/>
    </row>
    <row r="15" spans="1:14" ht="17.25" customHeight="1" x14ac:dyDescent="0.25">
      <c r="A15" s="15">
        <f ca="1">A11</f>
        <v>42573</v>
      </c>
      <c r="B15" s="28">
        <f>(('MM3'!B168/'MM3'!B167)-1)*100</f>
        <v>-0.13154628940184043</v>
      </c>
      <c r="C15" s="25">
        <f>(('MM3'!C168/'MM3'!C167)-1)*100</f>
        <v>0.25551338344371732</v>
      </c>
      <c r="D15" s="25">
        <f>(('MM3'!D168/'MM3'!D167)-1)*100</f>
        <v>0.55006009059814787</v>
      </c>
      <c r="E15" s="25">
        <f>(('MM3'!E168/'MM3'!E167)-1)*100</f>
        <v>0.28094077867832912</v>
      </c>
      <c r="F15" s="25">
        <f>(('MM3'!F168/'MM3'!F167)-1)*100</f>
        <v>0.17786383285300911</v>
      </c>
      <c r="G15" s="25">
        <f>(('MM3'!G168/'MM3'!G167)-1)*100</f>
        <v>-1.0331770193344747</v>
      </c>
      <c r="H15" s="25">
        <f>(('MM3'!H168/'MM3'!H167)-1)*100</f>
        <v>9.3848247383987449E-2</v>
      </c>
      <c r="I15" s="25">
        <f>(('MM3'!I168/'MM3'!I167)-1)*100</f>
        <v>0.49373241238166443</v>
      </c>
      <c r="J15" s="25">
        <f>(('MM3'!J168/'MM3'!J167)-1)*100</f>
        <v>0.11289484973695529</v>
      </c>
      <c r="K15" s="26">
        <f>(('MM3'!K168/'MM3'!K167)-1)*100</f>
        <v>-1.6332045416834418</v>
      </c>
      <c r="N15" s="45"/>
    </row>
    <row r="16" spans="1:14" ht="17.25" customHeight="1" x14ac:dyDescent="0.25">
      <c r="A16" s="15">
        <f ca="1">A12</f>
        <v>42603</v>
      </c>
      <c r="B16" s="28">
        <f>(('MM3'!B169/'MM3'!B168)-1)*100</f>
        <v>-0.30817406864328545</v>
      </c>
      <c r="C16" s="25">
        <f>(('MM3'!C169/'MM3'!C168)-1)*100</f>
        <v>-0.31672192804474975</v>
      </c>
      <c r="D16" s="25">
        <f>(('MM3'!D169/'MM3'!D168)-1)*100</f>
        <v>0.27812255780812478</v>
      </c>
      <c r="E16" s="25">
        <f>(('MM3'!E169/'MM3'!E168)-1)*100</f>
        <v>5.9501673484563256E-2</v>
      </c>
      <c r="F16" s="25">
        <f>(('MM3'!F169/'MM3'!F168)-1)*100</f>
        <v>-0.16855826497357285</v>
      </c>
      <c r="G16" s="25">
        <f>(('MM3'!G169/'MM3'!G168)-1)*100</f>
        <v>-0.31673634866336009</v>
      </c>
      <c r="H16" s="25">
        <f>(('MM3'!H169/'MM3'!H168)-1)*100</f>
        <v>3.7504102011154394E-2</v>
      </c>
      <c r="I16" s="25">
        <f>(('MM3'!I169/'MM3'!I168)-1)*100</f>
        <v>-0.19855917317925798</v>
      </c>
      <c r="J16" s="25">
        <f>(('MM3'!J169/'MM3'!J168)-1)*100</f>
        <v>-0.48264507544146795</v>
      </c>
      <c r="K16" s="26">
        <f>(('MM3'!K169/'MM3'!K168)-1)*100</f>
        <v>-0.91811653573666829</v>
      </c>
    </row>
    <row r="17" spans="1:14" ht="17.25" customHeight="1" x14ac:dyDescent="0.25">
      <c r="A17" s="15">
        <f ca="1">A13</f>
        <v>42633</v>
      </c>
      <c r="B17" s="28">
        <f>(('MM3'!B170/'MM3'!B169)-1)*100</f>
        <v>-0.3465210779547867</v>
      </c>
      <c r="C17" s="25">
        <f>(('MM3'!C170/'MM3'!C169)-1)*100</f>
        <v>-0.57340018865115194</v>
      </c>
      <c r="D17" s="25">
        <f>(('MM3'!D170/'MM3'!D169)-1)*100</f>
        <v>0.19024915763174999</v>
      </c>
      <c r="E17" s="25">
        <f>(('MM3'!E170/'MM3'!E169)-1)*100</f>
        <v>-0.20069872890803309</v>
      </c>
      <c r="F17" s="25">
        <f>(('MM3'!F170/'MM3'!F169)-1)*100</f>
        <v>-0.11706438541198017</v>
      </c>
      <c r="G17" s="25">
        <f>(('MM3'!G170/'MM3'!G169)-1)*100</f>
        <v>-0.32536858159633031</v>
      </c>
      <c r="H17" s="25">
        <f>(('MM3'!H170/'MM3'!H169)-1)*100</f>
        <v>-0.3584985238295979</v>
      </c>
      <c r="I17" s="25">
        <f>(('MM3'!I170/'MM3'!I169)-1)*100</f>
        <v>-0.49228414743016646</v>
      </c>
      <c r="J17" s="25">
        <f>(('MM3'!J170/'MM3'!J169)-1)*100</f>
        <v>-0.78186968838529491</v>
      </c>
      <c r="K17" s="26">
        <f>(('MM3'!K170/'MM3'!K169)-1)*100</f>
        <v>-7.5394605637568723E-2</v>
      </c>
    </row>
    <row r="18" spans="1:14" ht="17.25" customHeight="1" x14ac:dyDescent="0.25">
      <c r="A18" s="22" t="s">
        <v>17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N18" s="43"/>
    </row>
    <row r="19" spans="1:14" ht="17.25" customHeight="1" x14ac:dyDescent="0.25">
      <c r="A19" s="15">
        <f ca="1">A15</f>
        <v>42573</v>
      </c>
      <c r="B19" s="28">
        <f>(('MM6'!B168/'MM6'!B156)-1)*100</f>
        <v>-5.3329889160247941</v>
      </c>
      <c r="C19" s="25">
        <f>(('MM6'!C168/'MM6'!C156)-1)*100</f>
        <v>-3.4971167707832707</v>
      </c>
      <c r="D19" s="25">
        <f>(('MM6'!D168/'MM6'!D156)-1)*100</f>
        <v>-7.3417531359651678</v>
      </c>
      <c r="E19" s="25">
        <f>(('MM6'!E168/'MM6'!E156)-1)*100</f>
        <v>-4.9218004172215775</v>
      </c>
      <c r="F19" s="25">
        <f>(('MM6'!F168/'MM6'!F156)-1)*100</f>
        <v>-2.800443678135689</v>
      </c>
      <c r="G19" s="25">
        <f>(('MM6'!G168/'MM6'!G156)-1)*100</f>
        <v>-3.4999636178417948</v>
      </c>
      <c r="H19" s="25">
        <f>(('MM6'!H168/'MM6'!H156)-1)*100</f>
        <v>-3.3852834521251651</v>
      </c>
      <c r="I19" s="25">
        <f>(('MM6'!I168/'MM6'!I156)-1)*100</f>
        <v>-4.2534348515971825</v>
      </c>
      <c r="J19" s="25">
        <f>(('MM6'!J168/'MM6'!J156)-1)*100</f>
        <v>-2.8324637172798095</v>
      </c>
      <c r="K19" s="26">
        <f>(('MM6'!K168/'MM6'!K156)-1)*100</f>
        <v>-5.4188078397858996</v>
      </c>
    </row>
    <row r="20" spans="1:14" ht="17.25" customHeight="1" x14ac:dyDescent="0.25">
      <c r="A20" s="15">
        <f ca="1">A16</f>
        <v>42603</v>
      </c>
      <c r="B20" s="28">
        <f>(('MM6'!B169/'MM6'!B157)-1)*100</f>
        <v>-4.9338488277231862</v>
      </c>
      <c r="C20" s="25">
        <f>(('MM6'!C169/'MM6'!C157)-1)*100</f>
        <v>-2.7398585333414216</v>
      </c>
      <c r="D20" s="25">
        <f>(('MM6'!D169/'MM6'!D157)-1)*100</f>
        <v>-6.0937415334597738</v>
      </c>
      <c r="E20" s="25">
        <f>(('MM6'!E169/'MM6'!E157)-1)*100</f>
        <v>-4.3497342949326168</v>
      </c>
      <c r="F20" s="25">
        <f>(('MM6'!F169/'MM6'!F157)-1)*100</f>
        <v>-1.8802813785780526</v>
      </c>
      <c r="G20" s="25">
        <f>(('MM6'!G169/'MM6'!G157)-1)*100</f>
        <v>-2.4868612870425744</v>
      </c>
      <c r="H20" s="25">
        <f>(('MM6'!H169/'MM6'!H157)-1)*100</f>
        <v>-2.7417900396087047</v>
      </c>
      <c r="I20" s="25">
        <f>(('MM6'!I169/'MM6'!I157)-1)*100</f>
        <v>-3.6785127945587859</v>
      </c>
      <c r="J20" s="25">
        <f>(('MM6'!J169/'MM6'!J157)-1)*100</f>
        <v>-2.406169325478269</v>
      </c>
      <c r="K20" s="26">
        <f>(('MM6'!K169/'MM6'!K157)-1)*100</f>
        <v>-5.9046568930793519</v>
      </c>
    </row>
    <row r="21" spans="1:14" ht="17.25" customHeight="1" x14ac:dyDescent="0.25">
      <c r="A21" s="15">
        <f ca="1">A17</f>
        <v>42633</v>
      </c>
      <c r="B21" s="28">
        <f>(('MM6'!B170/'MM6'!B158)-1)*100</f>
        <v>-4.3576697131826103</v>
      </c>
      <c r="C21" s="25">
        <f>(('MM6'!C170/'MM6'!C158)-1)*100</f>
        <v>-2.3606167004823209</v>
      </c>
      <c r="D21" s="25">
        <f>(('MM6'!D170/'MM6'!D158)-1)*100</f>
        <v>-4.8401566705323695</v>
      </c>
      <c r="E21" s="25">
        <f>(('MM6'!E170/'MM6'!E158)-1)*100</f>
        <v>-3.9230429541575851</v>
      </c>
      <c r="F21" s="25">
        <f>(('MM6'!F170/'MM6'!F158)-1)*100</f>
        <v>-1.4354385692241123</v>
      </c>
      <c r="G21" s="25">
        <f>(('MM6'!G170/'MM6'!G158)-1)*100</f>
        <v>-1.5644836083936964</v>
      </c>
      <c r="H21" s="25">
        <f>(('MM6'!H170/'MM6'!H158)-1)*100</f>
        <v>-2.3465186425515761</v>
      </c>
      <c r="I21" s="25">
        <f>(('MM6'!I170/'MM6'!I158)-1)*100</f>
        <v>-3.0475315615030585</v>
      </c>
      <c r="J21" s="25">
        <f>(('MM6'!J170/'MM6'!J158)-1)*100</f>
        <v>-1.8642330235564275</v>
      </c>
      <c r="K21" s="26">
        <f>(('MM6'!K170/'MM6'!K158)-1)*100</f>
        <v>-5.933849942389779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N173"/>
  <sheetViews>
    <sheetView showGridLines="0" topLeftCell="A154" zoomScaleNormal="100" workbookViewId="0">
      <selection activeCell="B18" sqref="B18"/>
    </sheetView>
  </sheetViews>
  <sheetFormatPr defaultRowHeight="15" x14ac:dyDescent="0.25"/>
  <cols>
    <col min="1" max="1" width="7.7109375" style="12" customWidth="1"/>
    <col min="2" max="3" width="9.140625" style="11"/>
    <col min="4" max="4" width="9.5703125" style="11" bestFit="1" customWidth="1"/>
    <col min="5" max="11" width="9.140625" style="11"/>
    <col min="12" max="16384" width="9.140625" style="12"/>
  </cols>
  <sheetData>
    <row r="1" spans="1:14" s="4" customFormat="1" ht="18.75" x14ac:dyDescent="0.3">
      <c r="A1" s="2" t="s">
        <v>2</v>
      </c>
      <c r="B1" s="3"/>
      <c r="C1" s="3"/>
      <c r="D1" s="3"/>
      <c r="E1" s="3"/>
      <c r="F1" s="3"/>
      <c r="G1" s="3"/>
      <c r="H1" s="13"/>
      <c r="I1" s="35"/>
      <c r="J1" s="3"/>
    </row>
    <row r="2" spans="1:14" s="6" customFormat="1" x14ac:dyDescent="0.25">
      <c r="A2" s="42" t="s">
        <v>25</v>
      </c>
      <c r="B2" s="35" t="s">
        <v>20</v>
      </c>
      <c r="C2" s="1"/>
      <c r="E2" s="1"/>
      <c r="F2" s="1"/>
      <c r="G2" s="1"/>
      <c r="H2" s="1"/>
      <c r="I2" s="1"/>
    </row>
    <row r="3" spans="1:14" s="6" customFormat="1" ht="22.5" customHeight="1" x14ac:dyDescent="0.25">
      <c r="A3" s="7" t="s">
        <v>1</v>
      </c>
      <c r="B3" s="1"/>
      <c r="C3" s="1"/>
      <c r="D3" s="1"/>
      <c r="E3" s="8"/>
      <c r="F3" s="8"/>
      <c r="G3" s="1"/>
      <c r="H3" s="1"/>
      <c r="I3" s="1"/>
      <c r="J3" s="34"/>
      <c r="N3" s="1"/>
    </row>
    <row r="4" spans="1:14" s="6" customFormat="1" x14ac:dyDescent="0.25">
      <c r="A4" s="5" t="str">
        <f>Resumo!A4</f>
        <v>Atualizado em 29 de Novembro de 2016</v>
      </c>
      <c r="B4" s="18"/>
      <c r="C4" s="18"/>
      <c r="D4" s="18"/>
      <c r="E4" s="18"/>
      <c r="F4" s="18"/>
      <c r="G4" s="18"/>
      <c r="H4" s="18"/>
      <c r="I4" s="36"/>
      <c r="J4" s="18"/>
      <c r="K4" s="18"/>
    </row>
    <row r="5" spans="1:14" s="6" customFormat="1" x14ac:dyDescent="0.25">
      <c r="A5" s="5"/>
      <c r="B5" s="18">
        <v>24364</v>
      </c>
      <c r="C5" s="18">
        <v>20420</v>
      </c>
      <c r="D5" s="18">
        <v>20440</v>
      </c>
      <c r="E5" s="18">
        <v>20449</v>
      </c>
      <c r="F5" s="18">
        <v>20451</v>
      </c>
      <c r="G5" s="18">
        <v>20454</v>
      </c>
      <c r="H5" s="18">
        <v>20455</v>
      </c>
      <c r="I5" s="18">
        <v>20457</v>
      </c>
      <c r="J5" s="18">
        <v>20458</v>
      </c>
      <c r="K5" s="18">
        <v>20470</v>
      </c>
    </row>
    <row r="6" spans="1:14" s="10" customFormat="1" ht="39" customHeight="1" x14ac:dyDescent="0.25">
      <c r="A6" s="9"/>
      <c r="B6" s="14" t="s">
        <v>14</v>
      </c>
      <c r="C6" s="14" t="s">
        <v>11</v>
      </c>
      <c r="D6" s="14" t="s">
        <v>4</v>
      </c>
      <c r="E6" s="14" t="s">
        <v>3</v>
      </c>
      <c r="F6" s="14" t="s">
        <v>5</v>
      </c>
      <c r="G6" s="14" t="s">
        <v>9</v>
      </c>
      <c r="H6" s="14" t="s">
        <v>10</v>
      </c>
      <c r="I6" s="14" t="s">
        <v>8</v>
      </c>
      <c r="J6" s="14" t="s">
        <v>7</v>
      </c>
      <c r="K6" s="14" t="s">
        <v>6</v>
      </c>
    </row>
    <row r="7" spans="1:14" x14ac:dyDescent="0.25">
      <c r="A7" s="32">
        <v>37622</v>
      </c>
      <c r="B7" s="40">
        <v>100.48</v>
      </c>
      <c r="C7" s="37">
        <v>97.13</v>
      </c>
      <c r="D7" s="37">
        <v>102.39</v>
      </c>
      <c r="E7" s="37">
        <v>101.03</v>
      </c>
      <c r="F7" s="37">
        <v>99.35</v>
      </c>
      <c r="G7" s="37">
        <v>101.79</v>
      </c>
      <c r="H7" s="37">
        <v>101.45</v>
      </c>
      <c r="I7" s="37">
        <v>100.83</v>
      </c>
      <c r="J7" s="37">
        <v>104.42</v>
      </c>
      <c r="K7" s="37">
        <v>101.05</v>
      </c>
      <c r="L7" s="17"/>
    </row>
    <row r="8" spans="1:14" x14ac:dyDescent="0.25">
      <c r="A8" s="32">
        <v>37653</v>
      </c>
      <c r="B8" s="40">
        <v>101.9</v>
      </c>
      <c r="C8" s="37">
        <v>97.93</v>
      </c>
      <c r="D8" s="37">
        <v>100.51</v>
      </c>
      <c r="E8" s="37">
        <v>99.66</v>
      </c>
      <c r="F8" s="37">
        <v>99.5</v>
      </c>
      <c r="G8" s="37">
        <v>101.9</v>
      </c>
      <c r="H8" s="37">
        <v>102.84</v>
      </c>
      <c r="I8" s="37">
        <v>101.53</v>
      </c>
      <c r="J8" s="37">
        <v>105.97</v>
      </c>
      <c r="K8" s="37">
        <v>99.95</v>
      </c>
      <c r="L8" s="17"/>
    </row>
    <row r="9" spans="1:14" x14ac:dyDescent="0.25">
      <c r="A9" s="32">
        <v>37681</v>
      </c>
      <c r="B9" s="40">
        <v>102.29</v>
      </c>
      <c r="C9" s="37">
        <v>97.76</v>
      </c>
      <c r="D9" s="37">
        <v>99.74</v>
      </c>
      <c r="E9" s="37">
        <v>99.77</v>
      </c>
      <c r="F9" s="37">
        <v>99.84</v>
      </c>
      <c r="G9" s="37">
        <v>100.94</v>
      </c>
      <c r="H9" s="37">
        <v>101.87</v>
      </c>
      <c r="I9" s="37">
        <v>101.22</v>
      </c>
      <c r="J9" s="37">
        <v>106.87</v>
      </c>
      <c r="K9" s="37">
        <v>100.23</v>
      </c>
    </row>
    <row r="10" spans="1:14" x14ac:dyDescent="0.25">
      <c r="A10" s="32">
        <v>37712</v>
      </c>
      <c r="B10" s="40">
        <v>101.08</v>
      </c>
      <c r="C10" s="37">
        <v>96.85</v>
      </c>
      <c r="D10" s="37">
        <v>99.56</v>
      </c>
      <c r="E10" s="37">
        <v>99.84</v>
      </c>
      <c r="F10" s="37">
        <v>98.99</v>
      </c>
      <c r="G10" s="37">
        <v>108.87</v>
      </c>
      <c r="H10" s="37">
        <v>101.16</v>
      </c>
      <c r="I10" s="37">
        <v>100.5</v>
      </c>
      <c r="J10" s="37">
        <v>102.94</v>
      </c>
      <c r="K10" s="37">
        <v>101.7</v>
      </c>
    </row>
    <row r="11" spans="1:14" x14ac:dyDescent="0.25">
      <c r="A11" s="32">
        <v>37742</v>
      </c>
      <c r="B11" s="40">
        <v>99.68</v>
      </c>
      <c r="C11" s="37">
        <v>96.18</v>
      </c>
      <c r="D11" s="37">
        <v>98.72</v>
      </c>
      <c r="E11" s="37">
        <v>99.19</v>
      </c>
      <c r="F11" s="37">
        <v>98.19</v>
      </c>
      <c r="G11" s="37">
        <v>103.78</v>
      </c>
      <c r="H11" s="37">
        <v>100.21</v>
      </c>
      <c r="I11" s="37">
        <v>99.7</v>
      </c>
      <c r="J11" s="37">
        <v>103</v>
      </c>
      <c r="K11" s="37">
        <v>100.48</v>
      </c>
    </row>
    <row r="12" spans="1:14" x14ac:dyDescent="0.25">
      <c r="A12" s="32">
        <v>37773</v>
      </c>
      <c r="B12" s="40">
        <v>100.38</v>
      </c>
      <c r="C12" s="37">
        <v>95.47</v>
      </c>
      <c r="D12" s="37">
        <v>99.75</v>
      </c>
      <c r="E12" s="37">
        <v>100.56</v>
      </c>
      <c r="F12" s="37">
        <v>98.07</v>
      </c>
      <c r="G12" s="37">
        <v>100.59</v>
      </c>
      <c r="H12" s="37">
        <v>100.45</v>
      </c>
      <c r="I12" s="37">
        <v>100.19</v>
      </c>
      <c r="J12" s="37">
        <v>100.99</v>
      </c>
      <c r="K12" s="37">
        <v>100.05</v>
      </c>
    </row>
    <row r="13" spans="1:14" x14ac:dyDescent="0.25">
      <c r="A13" s="32">
        <v>37803</v>
      </c>
      <c r="B13" s="40">
        <v>98.94</v>
      </c>
      <c r="C13" s="37">
        <v>95.74</v>
      </c>
      <c r="D13" s="37">
        <v>99.36</v>
      </c>
      <c r="E13" s="37">
        <v>99.26</v>
      </c>
      <c r="F13" s="37">
        <v>99.39</v>
      </c>
      <c r="G13" s="37">
        <v>97.37</v>
      </c>
      <c r="H13" s="37">
        <v>98.34</v>
      </c>
      <c r="I13" s="37">
        <v>100.7</v>
      </c>
      <c r="J13" s="37">
        <v>103.91</v>
      </c>
      <c r="K13" s="37">
        <v>97.26</v>
      </c>
    </row>
    <row r="14" spans="1:14" x14ac:dyDescent="0.25">
      <c r="A14" s="32">
        <v>37834</v>
      </c>
      <c r="B14" s="40">
        <v>99.83</v>
      </c>
      <c r="C14" s="37">
        <v>96.69</v>
      </c>
      <c r="D14" s="37">
        <v>99.22</v>
      </c>
      <c r="E14" s="37">
        <v>99.62</v>
      </c>
      <c r="F14" s="37">
        <v>100.76</v>
      </c>
      <c r="G14" s="37">
        <v>99.64</v>
      </c>
      <c r="H14" s="37">
        <v>99.65</v>
      </c>
      <c r="I14" s="37">
        <v>100.3</v>
      </c>
      <c r="J14" s="37">
        <v>104.44</v>
      </c>
      <c r="K14" s="37">
        <v>98.47</v>
      </c>
    </row>
    <row r="15" spans="1:14" x14ac:dyDescent="0.25">
      <c r="A15" s="32">
        <v>37865</v>
      </c>
      <c r="B15" s="40">
        <v>101.54</v>
      </c>
      <c r="C15" s="37">
        <v>97.8</v>
      </c>
      <c r="D15" s="37">
        <v>99.88</v>
      </c>
      <c r="E15" s="37">
        <v>99.39</v>
      </c>
      <c r="F15" s="37">
        <v>101.83</v>
      </c>
      <c r="G15" s="37">
        <v>103.24</v>
      </c>
      <c r="H15" s="37">
        <v>101.78</v>
      </c>
      <c r="I15" s="37">
        <v>100.59</v>
      </c>
      <c r="J15" s="37">
        <v>104.22</v>
      </c>
      <c r="K15" s="37">
        <v>102.42</v>
      </c>
    </row>
    <row r="16" spans="1:14" x14ac:dyDescent="0.25">
      <c r="A16" s="32">
        <v>37895</v>
      </c>
      <c r="B16" s="40">
        <v>101.84</v>
      </c>
      <c r="C16" s="37">
        <v>98.42</v>
      </c>
      <c r="D16" s="37">
        <v>98.95</v>
      </c>
      <c r="E16" s="37">
        <v>98.3</v>
      </c>
      <c r="F16" s="37">
        <v>102.85</v>
      </c>
      <c r="G16" s="37">
        <v>103.82</v>
      </c>
      <c r="H16" s="37">
        <v>102.69</v>
      </c>
      <c r="I16" s="37">
        <v>101.17</v>
      </c>
      <c r="J16" s="37">
        <v>105.55</v>
      </c>
      <c r="K16" s="37">
        <v>101.58</v>
      </c>
    </row>
    <row r="17" spans="1:11" x14ac:dyDescent="0.25">
      <c r="A17" s="32">
        <v>37926</v>
      </c>
      <c r="B17" s="40">
        <v>101.97</v>
      </c>
      <c r="C17" s="37">
        <v>99.18</v>
      </c>
      <c r="D17" s="37">
        <v>99.46</v>
      </c>
      <c r="E17" s="37">
        <v>99.84</v>
      </c>
      <c r="F17" s="37">
        <v>103.94</v>
      </c>
      <c r="G17" s="37">
        <v>106.13</v>
      </c>
      <c r="H17" s="37">
        <v>103.57</v>
      </c>
      <c r="I17" s="37">
        <v>101.17</v>
      </c>
      <c r="J17" s="37">
        <v>105.9</v>
      </c>
      <c r="K17" s="37">
        <v>97.35</v>
      </c>
    </row>
    <row r="18" spans="1:11" x14ac:dyDescent="0.25">
      <c r="A18" s="32">
        <v>37956</v>
      </c>
      <c r="B18" s="40">
        <v>101.57</v>
      </c>
      <c r="C18" s="37">
        <v>100.83</v>
      </c>
      <c r="D18" s="37">
        <v>99.23</v>
      </c>
      <c r="E18" s="37">
        <v>99.1</v>
      </c>
      <c r="F18" s="37">
        <v>103.21</v>
      </c>
      <c r="G18" s="37">
        <v>100.71</v>
      </c>
      <c r="H18" s="37">
        <v>102.61</v>
      </c>
      <c r="I18" s="37">
        <v>100.82</v>
      </c>
      <c r="J18" s="37">
        <v>101.8</v>
      </c>
      <c r="K18" s="37">
        <v>99.17</v>
      </c>
    </row>
    <row r="19" spans="1:11" x14ac:dyDescent="0.25">
      <c r="A19" s="32">
        <v>37987</v>
      </c>
      <c r="B19" s="40">
        <v>103.59</v>
      </c>
      <c r="C19" s="37">
        <v>99.08</v>
      </c>
      <c r="D19" s="37">
        <v>99.67</v>
      </c>
      <c r="E19" s="37">
        <v>98.85</v>
      </c>
      <c r="F19" s="37">
        <v>104.13</v>
      </c>
      <c r="G19" s="37">
        <v>104.51</v>
      </c>
      <c r="H19" s="37">
        <v>103.75</v>
      </c>
      <c r="I19" s="37">
        <v>100.86</v>
      </c>
      <c r="J19" s="37">
        <v>106.18</v>
      </c>
      <c r="K19" s="37">
        <v>100.79</v>
      </c>
    </row>
    <row r="20" spans="1:11" x14ac:dyDescent="0.25">
      <c r="A20" s="32">
        <v>38018</v>
      </c>
      <c r="B20" s="40">
        <v>104.42</v>
      </c>
      <c r="C20" s="37">
        <v>99.05</v>
      </c>
      <c r="D20" s="37">
        <v>99.85</v>
      </c>
      <c r="E20" s="37">
        <v>99.52</v>
      </c>
      <c r="F20" s="37">
        <v>102.65</v>
      </c>
      <c r="G20" s="37">
        <v>105.01</v>
      </c>
      <c r="H20" s="37">
        <v>104.4</v>
      </c>
      <c r="I20" s="37">
        <v>99.73</v>
      </c>
      <c r="J20" s="37">
        <v>106.32</v>
      </c>
      <c r="K20" s="37">
        <v>101.84</v>
      </c>
    </row>
    <row r="21" spans="1:11" x14ac:dyDescent="0.25">
      <c r="A21" s="32">
        <v>38047</v>
      </c>
      <c r="B21" s="40">
        <v>106.05</v>
      </c>
      <c r="C21" s="37">
        <v>102.38</v>
      </c>
      <c r="D21" s="37">
        <v>101.2</v>
      </c>
      <c r="E21" s="37">
        <v>99.75</v>
      </c>
      <c r="F21" s="37">
        <v>105.31</v>
      </c>
      <c r="G21" s="37">
        <v>107.5</v>
      </c>
      <c r="H21" s="37">
        <v>105.77</v>
      </c>
      <c r="I21" s="37">
        <v>101.22</v>
      </c>
      <c r="J21" s="37">
        <v>110.24</v>
      </c>
      <c r="K21" s="37">
        <v>103.03</v>
      </c>
    </row>
    <row r="22" spans="1:11" x14ac:dyDescent="0.25">
      <c r="A22" s="32">
        <v>38078</v>
      </c>
      <c r="B22" s="40">
        <v>106.54</v>
      </c>
      <c r="C22" s="37">
        <v>103.74</v>
      </c>
      <c r="D22" s="37">
        <v>102.23</v>
      </c>
      <c r="E22" s="37">
        <v>99.99</v>
      </c>
      <c r="F22" s="37">
        <v>106.57</v>
      </c>
      <c r="G22" s="37">
        <v>105.39</v>
      </c>
      <c r="H22" s="37">
        <v>106.82</v>
      </c>
      <c r="I22" s="37">
        <v>101.74</v>
      </c>
      <c r="J22" s="37">
        <v>107.99</v>
      </c>
      <c r="K22" s="37">
        <v>103.87</v>
      </c>
    </row>
    <row r="23" spans="1:11" x14ac:dyDescent="0.25">
      <c r="A23" s="32">
        <v>38108</v>
      </c>
      <c r="B23" s="40">
        <v>106.24</v>
      </c>
      <c r="C23" s="37">
        <v>102.96</v>
      </c>
      <c r="D23" s="37">
        <v>103.37</v>
      </c>
      <c r="E23" s="37">
        <v>100.28</v>
      </c>
      <c r="F23" s="37">
        <v>106.46</v>
      </c>
      <c r="G23" s="37">
        <v>104.44</v>
      </c>
      <c r="H23" s="37">
        <v>106.36</v>
      </c>
      <c r="I23" s="37">
        <v>101.66</v>
      </c>
      <c r="J23" s="37">
        <v>106.1</v>
      </c>
      <c r="K23" s="37">
        <v>105.95</v>
      </c>
    </row>
    <row r="24" spans="1:11" x14ac:dyDescent="0.25">
      <c r="A24" s="32">
        <v>38139</v>
      </c>
      <c r="B24" s="40">
        <v>107.28</v>
      </c>
      <c r="C24" s="37">
        <v>103.74</v>
      </c>
      <c r="D24" s="37">
        <v>102.94</v>
      </c>
      <c r="E24" s="37">
        <v>100.65</v>
      </c>
      <c r="F24" s="37">
        <v>106.86</v>
      </c>
      <c r="G24" s="37">
        <v>104.32</v>
      </c>
      <c r="H24" s="37">
        <v>106.69</v>
      </c>
      <c r="I24" s="37">
        <v>102.9</v>
      </c>
      <c r="J24" s="37">
        <v>104.12</v>
      </c>
      <c r="K24" s="37">
        <v>111.14</v>
      </c>
    </row>
    <row r="25" spans="1:11" x14ac:dyDescent="0.25">
      <c r="A25" s="32">
        <v>38169</v>
      </c>
      <c r="B25" s="40">
        <v>107.71</v>
      </c>
      <c r="C25" s="37">
        <v>104.4</v>
      </c>
      <c r="D25" s="37">
        <v>102.62</v>
      </c>
      <c r="E25" s="37">
        <v>101.82</v>
      </c>
      <c r="F25" s="37">
        <v>108.21</v>
      </c>
      <c r="G25" s="37">
        <v>105.14</v>
      </c>
      <c r="H25" s="37">
        <v>107.19</v>
      </c>
      <c r="I25" s="37">
        <v>102.79</v>
      </c>
      <c r="J25" s="37">
        <v>107.48</v>
      </c>
      <c r="K25" s="37">
        <v>110.07</v>
      </c>
    </row>
    <row r="26" spans="1:11" x14ac:dyDescent="0.25">
      <c r="A26" s="32">
        <v>38200</v>
      </c>
      <c r="B26" s="40">
        <v>108.19</v>
      </c>
      <c r="C26" s="37">
        <v>103.84</v>
      </c>
      <c r="D26" s="37">
        <v>103.76</v>
      </c>
      <c r="E26" s="37">
        <v>102.82</v>
      </c>
      <c r="F26" s="37">
        <v>108.11</v>
      </c>
      <c r="G26" s="37">
        <v>104.78</v>
      </c>
      <c r="H26" s="37">
        <v>108.5</v>
      </c>
      <c r="I26" s="37">
        <v>103.05</v>
      </c>
      <c r="J26" s="37">
        <v>109.75</v>
      </c>
      <c r="K26" s="37">
        <v>103.6</v>
      </c>
    </row>
    <row r="27" spans="1:11" x14ac:dyDescent="0.25">
      <c r="A27" s="32">
        <v>38231</v>
      </c>
      <c r="B27" s="40">
        <v>109.4</v>
      </c>
      <c r="C27" s="37">
        <v>103.74</v>
      </c>
      <c r="D27" s="37">
        <v>104.11</v>
      </c>
      <c r="E27" s="37">
        <v>104.52</v>
      </c>
      <c r="F27" s="37">
        <v>109.82</v>
      </c>
      <c r="G27" s="37">
        <v>103.69</v>
      </c>
      <c r="H27" s="37">
        <v>108.14</v>
      </c>
      <c r="I27" s="37">
        <v>103.26</v>
      </c>
      <c r="J27" s="37">
        <v>109.84</v>
      </c>
      <c r="K27" s="37">
        <v>104.94</v>
      </c>
    </row>
    <row r="28" spans="1:11" x14ac:dyDescent="0.25">
      <c r="A28" s="32">
        <v>38261</v>
      </c>
      <c r="B28" s="40">
        <v>108.85</v>
      </c>
      <c r="C28" s="37">
        <v>103.7</v>
      </c>
      <c r="D28" s="37">
        <v>104.23</v>
      </c>
      <c r="E28" s="37">
        <v>103.77</v>
      </c>
      <c r="F28" s="37">
        <v>109.84</v>
      </c>
      <c r="G28" s="37">
        <v>105.89</v>
      </c>
      <c r="H28" s="37">
        <v>108.65</v>
      </c>
      <c r="I28" s="37">
        <v>104.1</v>
      </c>
      <c r="J28" s="37">
        <v>109.19</v>
      </c>
      <c r="K28" s="37">
        <v>105.57</v>
      </c>
    </row>
    <row r="29" spans="1:11" x14ac:dyDescent="0.25">
      <c r="A29" s="32">
        <v>38292</v>
      </c>
      <c r="B29" s="40">
        <v>109.63</v>
      </c>
      <c r="C29" s="37">
        <v>104.06</v>
      </c>
      <c r="D29" s="37">
        <v>102.56</v>
      </c>
      <c r="E29" s="37">
        <v>104.58</v>
      </c>
      <c r="F29" s="37">
        <v>110.7</v>
      </c>
      <c r="G29" s="37">
        <v>105.4</v>
      </c>
      <c r="H29" s="37">
        <v>108.41</v>
      </c>
      <c r="I29" s="37">
        <v>103.86</v>
      </c>
      <c r="J29" s="37">
        <v>109.72</v>
      </c>
      <c r="K29" s="37">
        <v>106.55</v>
      </c>
    </row>
    <row r="30" spans="1:11" x14ac:dyDescent="0.25">
      <c r="A30" s="32">
        <v>38322</v>
      </c>
      <c r="B30" s="40">
        <v>108.9</v>
      </c>
      <c r="C30" s="37">
        <v>104.83</v>
      </c>
      <c r="D30" s="37">
        <v>105.2</v>
      </c>
      <c r="E30" s="37">
        <v>106.51</v>
      </c>
      <c r="F30" s="37">
        <v>111.82</v>
      </c>
      <c r="G30" s="37">
        <v>106.09</v>
      </c>
      <c r="H30" s="37">
        <v>111.26</v>
      </c>
      <c r="I30" s="37">
        <v>105.72</v>
      </c>
      <c r="J30" s="37">
        <v>109.33</v>
      </c>
      <c r="K30" s="37">
        <v>106.52</v>
      </c>
    </row>
    <row r="31" spans="1:11" x14ac:dyDescent="0.25">
      <c r="A31" s="32">
        <v>38353</v>
      </c>
      <c r="B31" s="40">
        <v>109.65</v>
      </c>
      <c r="C31" s="37">
        <v>105.32</v>
      </c>
      <c r="D31" s="37">
        <v>105.76</v>
      </c>
      <c r="E31" s="37">
        <v>104.62</v>
      </c>
      <c r="F31" s="37">
        <v>110.76</v>
      </c>
      <c r="G31" s="37">
        <v>104.07</v>
      </c>
      <c r="H31" s="37">
        <v>109.71</v>
      </c>
      <c r="I31" s="37">
        <v>104.34</v>
      </c>
      <c r="J31" s="37">
        <v>109.87</v>
      </c>
      <c r="K31" s="37">
        <v>105.85</v>
      </c>
    </row>
    <row r="32" spans="1:11" x14ac:dyDescent="0.25">
      <c r="A32" s="32">
        <v>38384</v>
      </c>
      <c r="B32" s="40">
        <v>110.21</v>
      </c>
      <c r="C32" s="37">
        <v>104.8</v>
      </c>
      <c r="D32" s="37">
        <v>106.66</v>
      </c>
      <c r="E32" s="37">
        <v>104.17</v>
      </c>
      <c r="F32" s="37">
        <v>110.37</v>
      </c>
      <c r="G32" s="37">
        <v>104.73</v>
      </c>
      <c r="H32" s="37">
        <v>108.38</v>
      </c>
      <c r="I32" s="37">
        <v>104.53</v>
      </c>
      <c r="J32" s="37">
        <v>109.72</v>
      </c>
      <c r="K32" s="37">
        <v>106.73</v>
      </c>
    </row>
    <row r="33" spans="1:11" x14ac:dyDescent="0.25">
      <c r="A33" s="32">
        <v>38412</v>
      </c>
      <c r="B33" s="40">
        <v>110.56</v>
      </c>
      <c r="C33" s="37">
        <v>105.4</v>
      </c>
      <c r="D33" s="37">
        <v>106.93</v>
      </c>
      <c r="E33" s="37">
        <v>103.84</v>
      </c>
      <c r="F33" s="37">
        <v>111.03</v>
      </c>
      <c r="G33" s="37">
        <v>106.67</v>
      </c>
      <c r="H33" s="37">
        <v>109.58</v>
      </c>
      <c r="I33" s="37">
        <v>105.19</v>
      </c>
      <c r="J33" s="37">
        <v>111.69</v>
      </c>
      <c r="K33" s="37">
        <v>107.89</v>
      </c>
    </row>
    <row r="34" spans="1:11" x14ac:dyDescent="0.25">
      <c r="A34" s="32">
        <v>38443</v>
      </c>
      <c r="B34" s="40">
        <v>111.13</v>
      </c>
      <c r="C34" s="37">
        <v>105.87</v>
      </c>
      <c r="D34" s="37">
        <v>106.06</v>
      </c>
      <c r="E34" s="37">
        <v>104.53</v>
      </c>
      <c r="F34" s="37">
        <v>110.79</v>
      </c>
      <c r="G34" s="37">
        <v>88.43</v>
      </c>
      <c r="H34" s="37">
        <v>109.27</v>
      </c>
      <c r="I34" s="37">
        <v>105.98</v>
      </c>
      <c r="J34" s="37">
        <v>110.24</v>
      </c>
      <c r="K34" s="37">
        <v>108</v>
      </c>
    </row>
    <row r="35" spans="1:11" x14ac:dyDescent="0.25">
      <c r="A35" s="32">
        <v>38473</v>
      </c>
      <c r="B35" s="40">
        <v>110.88</v>
      </c>
      <c r="C35" s="37">
        <v>105.15</v>
      </c>
      <c r="D35" s="37">
        <v>107.47</v>
      </c>
      <c r="E35" s="37">
        <v>104.68</v>
      </c>
      <c r="F35" s="37">
        <v>111.5</v>
      </c>
      <c r="G35" s="37">
        <v>103.34</v>
      </c>
      <c r="H35" s="37">
        <v>109.04</v>
      </c>
      <c r="I35" s="37">
        <v>106.84</v>
      </c>
      <c r="J35" s="37">
        <v>109.9</v>
      </c>
      <c r="K35" s="37">
        <v>108.97</v>
      </c>
    </row>
    <row r="36" spans="1:11" x14ac:dyDescent="0.25">
      <c r="A36" s="32">
        <v>38504</v>
      </c>
      <c r="B36" s="40">
        <v>110.47</v>
      </c>
      <c r="C36" s="37">
        <v>105.32</v>
      </c>
      <c r="D36" s="37">
        <v>107.1</v>
      </c>
      <c r="E36" s="37">
        <v>104.56</v>
      </c>
      <c r="F36" s="37">
        <v>112.14</v>
      </c>
      <c r="G36" s="37">
        <v>105.62</v>
      </c>
      <c r="H36" s="37">
        <v>109.94</v>
      </c>
      <c r="I36" s="37">
        <v>106.01</v>
      </c>
      <c r="J36" s="37">
        <v>109.35</v>
      </c>
      <c r="K36" s="37">
        <v>113.88</v>
      </c>
    </row>
    <row r="37" spans="1:11" x14ac:dyDescent="0.25">
      <c r="A37" s="32">
        <v>38534</v>
      </c>
      <c r="B37" s="40">
        <v>110.69</v>
      </c>
      <c r="C37" s="37">
        <v>105.56</v>
      </c>
      <c r="D37" s="37">
        <v>108.17</v>
      </c>
      <c r="E37" s="37">
        <v>104.67</v>
      </c>
      <c r="F37" s="37">
        <v>111.5</v>
      </c>
      <c r="G37" s="37">
        <v>104.25</v>
      </c>
      <c r="H37" s="37">
        <v>108.71</v>
      </c>
      <c r="I37" s="37">
        <v>106.44</v>
      </c>
      <c r="J37" s="37">
        <v>108.86</v>
      </c>
      <c r="K37" s="37">
        <v>117.89</v>
      </c>
    </row>
    <row r="38" spans="1:11" x14ac:dyDescent="0.25">
      <c r="A38" s="32">
        <v>38565</v>
      </c>
      <c r="B38" s="40">
        <v>111.18</v>
      </c>
      <c r="C38" s="37">
        <v>106.07</v>
      </c>
      <c r="D38" s="37">
        <v>108.49</v>
      </c>
      <c r="E38" s="37">
        <v>104.34</v>
      </c>
      <c r="F38" s="37">
        <v>112.5</v>
      </c>
      <c r="G38" s="37">
        <v>105.29</v>
      </c>
      <c r="H38" s="37">
        <v>108.48</v>
      </c>
      <c r="I38" s="37">
        <v>107.44</v>
      </c>
      <c r="J38" s="37">
        <v>107.92</v>
      </c>
      <c r="K38" s="37">
        <v>112.39</v>
      </c>
    </row>
    <row r="39" spans="1:11" x14ac:dyDescent="0.25">
      <c r="A39" s="32">
        <v>38596</v>
      </c>
      <c r="B39" s="40">
        <v>110.87</v>
      </c>
      <c r="C39" s="37">
        <v>106.59</v>
      </c>
      <c r="D39" s="37">
        <v>107.74</v>
      </c>
      <c r="E39" s="37">
        <v>104.34</v>
      </c>
      <c r="F39" s="37">
        <v>112.68</v>
      </c>
      <c r="G39" s="37">
        <v>103.93</v>
      </c>
      <c r="H39" s="37">
        <v>106.59</v>
      </c>
      <c r="I39" s="37">
        <v>108.2</v>
      </c>
      <c r="J39" s="37">
        <v>109.63</v>
      </c>
      <c r="K39" s="37">
        <v>110.81</v>
      </c>
    </row>
    <row r="40" spans="1:11" x14ac:dyDescent="0.25">
      <c r="A40" s="32">
        <v>38626</v>
      </c>
      <c r="B40" s="40">
        <v>110.99</v>
      </c>
      <c r="C40" s="37">
        <v>107.07</v>
      </c>
      <c r="D40" s="37">
        <v>107.57</v>
      </c>
      <c r="E40" s="37">
        <v>105.47</v>
      </c>
      <c r="F40" s="37">
        <v>112.6</v>
      </c>
      <c r="G40" s="37">
        <v>102.99</v>
      </c>
      <c r="H40" s="37">
        <v>108.48</v>
      </c>
      <c r="I40" s="37">
        <v>107.74</v>
      </c>
      <c r="J40" s="37">
        <v>108.08</v>
      </c>
      <c r="K40" s="37">
        <v>110.49</v>
      </c>
    </row>
    <row r="41" spans="1:11" x14ac:dyDescent="0.25">
      <c r="A41" s="32">
        <v>38657</v>
      </c>
      <c r="B41" s="40">
        <v>111.8</v>
      </c>
      <c r="C41" s="37">
        <v>107.34</v>
      </c>
      <c r="D41" s="37">
        <v>109.14</v>
      </c>
      <c r="E41" s="37">
        <v>106.38</v>
      </c>
      <c r="F41" s="37">
        <v>113.83</v>
      </c>
      <c r="G41" s="37">
        <v>103.48</v>
      </c>
      <c r="H41" s="37">
        <v>110.16</v>
      </c>
      <c r="I41" s="37">
        <v>108.81</v>
      </c>
      <c r="J41" s="37">
        <v>107.82</v>
      </c>
      <c r="K41" s="37">
        <v>110.26</v>
      </c>
    </row>
    <row r="42" spans="1:11" x14ac:dyDescent="0.25">
      <c r="A42" s="32">
        <v>38687</v>
      </c>
      <c r="B42" s="40">
        <v>112.2</v>
      </c>
      <c r="C42" s="37">
        <v>107.58</v>
      </c>
      <c r="D42" s="37">
        <v>110.45</v>
      </c>
      <c r="E42" s="37">
        <v>107.86</v>
      </c>
      <c r="F42" s="37">
        <v>115.02</v>
      </c>
      <c r="G42" s="37">
        <v>104.16</v>
      </c>
      <c r="H42" s="37">
        <v>111.06</v>
      </c>
      <c r="I42" s="37">
        <v>109.06</v>
      </c>
      <c r="J42" s="37">
        <v>108.11</v>
      </c>
      <c r="K42" s="37">
        <v>113.06</v>
      </c>
    </row>
    <row r="43" spans="1:11" x14ac:dyDescent="0.25">
      <c r="A43" s="32">
        <v>38718</v>
      </c>
      <c r="B43" s="40">
        <v>113.32</v>
      </c>
      <c r="C43" s="37">
        <v>108.98</v>
      </c>
      <c r="D43" s="37">
        <v>110.43</v>
      </c>
      <c r="E43" s="37">
        <v>110.81</v>
      </c>
      <c r="F43" s="37">
        <v>115.59</v>
      </c>
      <c r="G43" s="37">
        <v>106.76</v>
      </c>
      <c r="H43" s="37">
        <v>112.35</v>
      </c>
      <c r="I43" s="37">
        <v>109.91</v>
      </c>
      <c r="J43" s="37">
        <v>112.04</v>
      </c>
      <c r="K43" s="37">
        <v>113.22</v>
      </c>
    </row>
    <row r="44" spans="1:11" x14ac:dyDescent="0.25">
      <c r="A44" s="32">
        <v>38749</v>
      </c>
      <c r="B44" s="40">
        <v>113.58</v>
      </c>
      <c r="C44" s="37">
        <v>109.46</v>
      </c>
      <c r="D44" s="37">
        <v>110.29</v>
      </c>
      <c r="E44" s="37">
        <v>110.12</v>
      </c>
      <c r="F44" s="37">
        <v>116.08</v>
      </c>
      <c r="G44" s="37">
        <v>107.71</v>
      </c>
      <c r="H44" s="37">
        <v>111.2</v>
      </c>
      <c r="I44" s="37">
        <v>110.91</v>
      </c>
      <c r="J44" s="37">
        <v>109.68</v>
      </c>
      <c r="K44" s="37">
        <v>113.93</v>
      </c>
    </row>
    <row r="45" spans="1:11" x14ac:dyDescent="0.25">
      <c r="A45" s="32">
        <v>38777</v>
      </c>
      <c r="B45" s="40">
        <v>113.93</v>
      </c>
      <c r="C45" s="37">
        <v>108.53</v>
      </c>
      <c r="D45" s="37">
        <v>110.11</v>
      </c>
      <c r="E45" s="37">
        <v>110.61</v>
      </c>
      <c r="F45" s="37">
        <v>116.36</v>
      </c>
      <c r="G45" s="37">
        <v>101.24</v>
      </c>
      <c r="H45" s="37">
        <v>109.97</v>
      </c>
      <c r="I45" s="37">
        <v>109.26</v>
      </c>
      <c r="J45" s="37">
        <v>107.28</v>
      </c>
      <c r="K45" s="37">
        <v>114.08</v>
      </c>
    </row>
    <row r="46" spans="1:11" x14ac:dyDescent="0.25">
      <c r="A46" s="32">
        <v>38808</v>
      </c>
      <c r="B46" s="40">
        <v>114.19</v>
      </c>
      <c r="C46" s="37">
        <v>109.88</v>
      </c>
      <c r="D46" s="37">
        <v>112.11</v>
      </c>
      <c r="E46" s="37">
        <v>111.34</v>
      </c>
      <c r="F46" s="37">
        <v>116.56</v>
      </c>
      <c r="G46" s="37">
        <v>100.56</v>
      </c>
      <c r="H46" s="37">
        <v>110.04</v>
      </c>
      <c r="I46" s="37">
        <v>109.87</v>
      </c>
      <c r="J46" s="37">
        <v>108.7</v>
      </c>
      <c r="K46" s="37">
        <v>114.79</v>
      </c>
    </row>
    <row r="47" spans="1:11" x14ac:dyDescent="0.25">
      <c r="A47" s="32">
        <v>38838</v>
      </c>
      <c r="B47" s="40">
        <v>115.53</v>
      </c>
      <c r="C47" s="37">
        <v>111.17</v>
      </c>
      <c r="D47" s="37">
        <v>111.59</v>
      </c>
      <c r="E47" s="37">
        <v>113.68</v>
      </c>
      <c r="F47" s="37">
        <v>117.76</v>
      </c>
      <c r="G47" s="37">
        <v>106.66</v>
      </c>
      <c r="H47" s="37">
        <v>112.41</v>
      </c>
      <c r="I47" s="37">
        <v>110.05</v>
      </c>
      <c r="J47" s="37">
        <v>112.48</v>
      </c>
      <c r="K47" s="37">
        <v>114.31</v>
      </c>
    </row>
    <row r="48" spans="1:11" x14ac:dyDescent="0.25">
      <c r="A48" s="32">
        <v>38869</v>
      </c>
      <c r="B48" s="40">
        <v>114.77</v>
      </c>
      <c r="C48" s="37">
        <v>111.59</v>
      </c>
      <c r="D48" s="37">
        <v>112.08</v>
      </c>
      <c r="E48" s="37">
        <v>113.54</v>
      </c>
      <c r="F48" s="37">
        <v>116.38</v>
      </c>
      <c r="G48" s="37">
        <v>106.97</v>
      </c>
      <c r="H48" s="37">
        <v>110.98</v>
      </c>
      <c r="I48" s="37">
        <v>108.71</v>
      </c>
      <c r="J48" s="37">
        <v>111.2</v>
      </c>
      <c r="K48" s="37">
        <v>113.58</v>
      </c>
    </row>
    <row r="49" spans="1:11" x14ac:dyDescent="0.25">
      <c r="A49" s="32">
        <v>38899</v>
      </c>
      <c r="B49" s="40">
        <v>116.86</v>
      </c>
      <c r="C49" s="37">
        <v>113.57</v>
      </c>
      <c r="D49" s="37">
        <v>113.85</v>
      </c>
      <c r="E49" s="37">
        <v>115.06</v>
      </c>
      <c r="F49" s="37">
        <v>117.93</v>
      </c>
      <c r="G49" s="37">
        <v>107.44</v>
      </c>
      <c r="H49" s="37">
        <v>113.26</v>
      </c>
      <c r="I49" s="37">
        <v>110.72</v>
      </c>
      <c r="J49" s="37">
        <v>111.18</v>
      </c>
      <c r="K49" s="37">
        <v>113.02</v>
      </c>
    </row>
    <row r="50" spans="1:11" x14ac:dyDescent="0.25">
      <c r="A50" s="32">
        <v>38930</v>
      </c>
      <c r="B50" s="40">
        <v>116.49</v>
      </c>
      <c r="C50" s="37">
        <v>112.37</v>
      </c>
      <c r="D50" s="37">
        <v>113.13</v>
      </c>
      <c r="E50" s="37">
        <v>114.77</v>
      </c>
      <c r="F50" s="37">
        <v>117.87</v>
      </c>
      <c r="G50" s="37">
        <v>107.81</v>
      </c>
      <c r="H50" s="37">
        <v>112.87</v>
      </c>
      <c r="I50" s="37">
        <v>110.62</v>
      </c>
      <c r="J50" s="37">
        <v>110.8</v>
      </c>
      <c r="K50" s="37">
        <v>113.22</v>
      </c>
    </row>
    <row r="51" spans="1:11" x14ac:dyDescent="0.25">
      <c r="A51" s="32">
        <v>38961</v>
      </c>
      <c r="B51" s="40">
        <v>116.87</v>
      </c>
      <c r="C51" s="37">
        <v>112.12</v>
      </c>
      <c r="D51" s="37">
        <v>114.05</v>
      </c>
      <c r="E51" s="37">
        <v>113.91</v>
      </c>
      <c r="F51" s="37">
        <v>117.18</v>
      </c>
      <c r="G51" s="37">
        <v>108.69</v>
      </c>
      <c r="H51" s="37">
        <v>113.06</v>
      </c>
      <c r="I51" s="37">
        <v>110.8</v>
      </c>
      <c r="J51" s="37">
        <v>108.5</v>
      </c>
      <c r="K51" s="37">
        <v>114.84</v>
      </c>
    </row>
    <row r="52" spans="1:11" x14ac:dyDescent="0.25">
      <c r="A52" s="32">
        <v>38991</v>
      </c>
      <c r="B52" s="40">
        <v>118.14</v>
      </c>
      <c r="C52" s="37">
        <v>112.77</v>
      </c>
      <c r="D52" s="37">
        <v>114.81</v>
      </c>
      <c r="E52" s="37">
        <v>114.6</v>
      </c>
      <c r="F52" s="37">
        <v>117.95</v>
      </c>
      <c r="G52" s="37">
        <v>108.31</v>
      </c>
      <c r="H52" s="37">
        <v>113.77</v>
      </c>
      <c r="I52" s="37">
        <v>111.01</v>
      </c>
      <c r="J52" s="37">
        <v>111.62</v>
      </c>
      <c r="K52" s="37">
        <v>115.28</v>
      </c>
    </row>
    <row r="53" spans="1:11" x14ac:dyDescent="0.25">
      <c r="A53" s="32">
        <v>39022</v>
      </c>
      <c r="B53" s="40">
        <v>118.82</v>
      </c>
      <c r="C53" s="37">
        <v>113.39</v>
      </c>
      <c r="D53" s="37">
        <v>114.88</v>
      </c>
      <c r="E53" s="37">
        <v>113.55</v>
      </c>
      <c r="F53" s="37">
        <v>118.53</v>
      </c>
      <c r="G53" s="37">
        <v>107.23</v>
      </c>
      <c r="H53" s="37">
        <v>113.73</v>
      </c>
      <c r="I53" s="37">
        <v>111.48</v>
      </c>
      <c r="J53" s="37">
        <v>112.87</v>
      </c>
      <c r="K53" s="37">
        <v>115.12</v>
      </c>
    </row>
    <row r="54" spans="1:11" x14ac:dyDescent="0.25">
      <c r="A54" s="32">
        <v>39052</v>
      </c>
      <c r="B54" s="40">
        <v>120.09</v>
      </c>
      <c r="C54" s="37">
        <v>114.73</v>
      </c>
      <c r="D54" s="37">
        <v>115.1</v>
      </c>
      <c r="E54" s="37">
        <v>113.33</v>
      </c>
      <c r="F54" s="37">
        <v>120.37</v>
      </c>
      <c r="G54" s="37">
        <v>108.77</v>
      </c>
      <c r="H54" s="37">
        <v>116.38</v>
      </c>
      <c r="I54" s="37">
        <v>112.25</v>
      </c>
      <c r="J54" s="37">
        <v>115.01</v>
      </c>
      <c r="K54" s="37">
        <v>113.86</v>
      </c>
    </row>
    <row r="55" spans="1:11" x14ac:dyDescent="0.25">
      <c r="A55" s="32">
        <v>39083</v>
      </c>
      <c r="B55" s="40">
        <v>119.68</v>
      </c>
      <c r="C55" s="37">
        <v>115.49</v>
      </c>
      <c r="D55" s="37">
        <v>115.12</v>
      </c>
      <c r="E55" s="37">
        <v>114.12</v>
      </c>
      <c r="F55" s="37">
        <v>120.64</v>
      </c>
      <c r="G55" s="37">
        <v>111.23</v>
      </c>
      <c r="H55" s="37">
        <v>116.85</v>
      </c>
      <c r="I55" s="37">
        <v>112.47</v>
      </c>
      <c r="J55" s="37">
        <v>115.76</v>
      </c>
      <c r="K55" s="37">
        <v>117.05</v>
      </c>
    </row>
    <row r="56" spans="1:11" x14ac:dyDescent="0.25">
      <c r="A56" s="32">
        <v>39114</v>
      </c>
      <c r="B56" s="40">
        <v>120.12</v>
      </c>
      <c r="C56" s="37">
        <v>115.67</v>
      </c>
      <c r="D56" s="37">
        <v>115.98</v>
      </c>
      <c r="E56" s="37">
        <v>114.49</v>
      </c>
      <c r="F56" s="37">
        <v>122.62</v>
      </c>
      <c r="G56" s="37">
        <v>115.38</v>
      </c>
      <c r="H56" s="37">
        <v>120.41</v>
      </c>
      <c r="I56" s="37">
        <v>113.23</v>
      </c>
      <c r="J56" s="37">
        <v>115.84</v>
      </c>
      <c r="K56" s="37">
        <v>116.05</v>
      </c>
    </row>
    <row r="57" spans="1:11" x14ac:dyDescent="0.25">
      <c r="A57" s="32">
        <v>39142</v>
      </c>
      <c r="B57" s="40">
        <v>119.72</v>
      </c>
      <c r="C57" s="37">
        <v>115.87</v>
      </c>
      <c r="D57" s="37">
        <v>115.93</v>
      </c>
      <c r="E57" s="37">
        <v>113.97</v>
      </c>
      <c r="F57" s="37">
        <v>122.55</v>
      </c>
      <c r="G57" s="37">
        <v>108.64</v>
      </c>
      <c r="H57" s="37">
        <v>116.41</v>
      </c>
      <c r="I57" s="37">
        <v>113.68</v>
      </c>
      <c r="J57" s="37">
        <v>115.88</v>
      </c>
      <c r="K57" s="37">
        <v>116.94</v>
      </c>
    </row>
    <row r="58" spans="1:11" x14ac:dyDescent="0.25">
      <c r="A58" s="32">
        <v>39173</v>
      </c>
      <c r="B58" s="40">
        <v>121.33</v>
      </c>
      <c r="C58" s="37">
        <v>116.62</v>
      </c>
      <c r="D58" s="37">
        <v>118.04</v>
      </c>
      <c r="E58" s="37">
        <v>114.35</v>
      </c>
      <c r="F58" s="37">
        <v>123.99</v>
      </c>
      <c r="G58" s="37">
        <v>110.8</v>
      </c>
      <c r="H58" s="37">
        <v>119.48</v>
      </c>
      <c r="I58" s="37">
        <v>114</v>
      </c>
      <c r="J58" s="37">
        <v>117.42</v>
      </c>
      <c r="K58" s="37">
        <v>117.19</v>
      </c>
    </row>
    <row r="59" spans="1:11" x14ac:dyDescent="0.25">
      <c r="A59" s="32">
        <v>39203</v>
      </c>
      <c r="B59" s="40">
        <v>122.24</v>
      </c>
      <c r="C59" s="37">
        <v>117.54</v>
      </c>
      <c r="D59" s="37">
        <v>118.67</v>
      </c>
      <c r="E59" s="37">
        <v>114.94</v>
      </c>
      <c r="F59" s="37">
        <v>124.49</v>
      </c>
      <c r="G59" s="37">
        <v>113.32</v>
      </c>
      <c r="H59" s="37">
        <v>119.92</v>
      </c>
      <c r="I59" s="37">
        <v>113.42</v>
      </c>
      <c r="J59" s="37">
        <v>117.91</v>
      </c>
      <c r="K59" s="37">
        <v>118.39</v>
      </c>
    </row>
    <row r="60" spans="1:11" x14ac:dyDescent="0.25">
      <c r="A60" s="32">
        <v>39234</v>
      </c>
      <c r="B60" s="40">
        <v>123.4</v>
      </c>
      <c r="C60" s="37">
        <v>115.8</v>
      </c>
      <c r="D60" s="37">
        <v>119.25</v>
      </c>
      <c r="E60" s="37">
        <v>114.93</v>
      </c>
      <c r="F60" s="37">
        <v>125.82</v>
      </c>
      <c r="G60" s="37">
        <v>111.21</v>
      </c>
      <c r="H60" s="37">
        <v>119.83</v>
      </c>
      <c r="I60" s="37">
        <v>113.96</v>
      </c>
      <c r="J60" s="37">
        <v>118.77</v>
      </c>
      <c r="K60" s="37">
        <v>118</v>
      </c>
    </row>
    <row r="61" spans="1:11" x14ac:dyDescent="0.25">
      <c r="A61" s="32">
        <v>39264</v>
      </c>
      <c r="B61" s="40">
        <v>124.22</v>
      </c>
      <c r="C61" s="37">
        <v>117.27</v>
      </c>
      <c r="D61" s="37">
        <v>119.23</v>
      </c>
      <c r="E61" s="37">
        <v>114.36</v>
      </c>
      <c r="F61" s="37">
        <v>126.5</v>
      </c>
      <c r="G61" s="37">
        <v>113.06</v>
      </c>
      <c r="H61" s="37">
        <v>120.17</v>
      </c>
      <c r="I61" s="37">
        <v>113.76</v>
      </c>
      <c r="J61" s="37">
        <v>119.07</v>
      </c>
      <c r="K61" s="37">
        <v>118.34</v>
      </c>
    </row>
    <row r="62" spans="1:11" x14ac:dyDescent="0.25">
      <c r="A62" s="32">
        <v>39295</v>
      </c>
      <c r="B62" s="40">
        <v>124.3</v>
      </c>
      <c r="C62" s="37">
        <v>119.99</v>
      </c>
      <c r="D62" s="37">
        <v>119.08</v>
      </c>
      <c r="E62" s="37">
        <v>114.81</v>
      </c>
      <c r="F62" s="37">
        <v>127.88</v>
      </c>
      <c r="G62" s="37">
        <v>113.27</v>
      </c>
      <c r="H62" s="37">
        <v>121.47</v>
      </c>
      <c r="I62" s="37">
        <v>114.6</v>
      </c>
      <c r="J62" s="37">
        <v>120.17</v>
      </c>
      <c r="K62" s="37">
        <v>118.48</v>
      </c>
    </row>
    <row r="63" spans="1:11" x14ac:dyDescent="0.25">
      <c r="A63" s="32">
        <v>39326</v>
      </c>
      <c r="B63" s="40">
        <v>125.21</v>
      </c>
      <c r="C63" s="37">
        <v>119.35</v>
      </c>
      <c r="D63" s="37">
        <v>119.63</v>
      </c>
      <c r="E63" s="37">
        <v>116.76</v>
      </c>
      <c r="F63" s="37">
        <v>128.58000000000001</v>
      </c>
      <c r="G63" s="37">
        <v>113.49</v>
      </c>
      <c r="H63" s="37">
        <v>122</v>
      </c>
      <c r="I63" s="37">
        <v>113.78</v>
      </c>
      <c r="J63" s="37">
        <v>118.97</v>
      </c>
      <c r="K63" s="37">
        <v>119.06</v>
      </c>
    </row>
    <row r="64" spans="1:11" x14ac:dyDescent="0.25">
      <c r="A64" s="32">
        <v>39356</v>
      </c>
      <c r="B64" s="40">
        <v>126.12</v>
      </c>
      <c r="C64" s="37">
        <v>121.13</v>
      </c>
      <c r="D64" s="37">
        <v>121.46</v>
      </c>
      <c r="E64" s="37">
        <v>122.91</v>
      </c>
      <c r="F64" s="37">
        <v>130.66999999999999</v>
      </c>
      <c r="G64" s="37">
        <v>114.32</v>
      </c>
      <c r="H64" s="37">
        <v>123.07</v>
      </c>
      <c r="I64" s="37">
        <v>115.03</v>
      </c>
      <c r="J64" s="37">
        <v>121.76</v>
      </c>
      <c r="K64" s="37">
        <v>121.9</v>
      </c>
    </row>
    <row r="65" spans="1:11" x14ac:dyDescent="0.25">
      <c r="A65" s="32">
        <v>39387</v>
      </c>
      <c r="B65" s="40">
        <v>126.11</v>
      </c>
      <c r="C65" s="37">
        <v>122.8</v>
      </c>
      <c r="D65" s="37">
        <v>122.04</v>
      </c>
      <c r="E65" s="37">
        <v>118.31</v>
      </c>
      <c r="F65" s="37">
        <v>130.54</v>
      </c>
      <c r="G65" s="37">
        <v>116.9</v>
      </c>
      <c r="H65" s="37">
        <v>123.66</v>
      </c>
      <c r="I65" s="37">
        <v>115.48</v>
      </c>
      <c r="J65" s="37">
        <v>121.39</v>
      </c>
      <c r="K65" s="37">
        <v>122.23</v>
      </c>
    </row>
    <row r="66" spans="1:11" x14ac:dyDescent="0.25">
      <c r="A66" s="32">
        <v>39417</v>
      </c>
      <c r="B66" s="40">
        <v>127</v>
      </c>
      <c r="C66" s="37">
        <v>122.91</v>
      </c>
      <c r="D66" s="37">
        <v>124.79</v>
      </c>
      <c r="E66" s="37">
        <v>119.22</v>
      </c>
      <c r="F66" s="37">
        <v>130.69999999999999</v>
      </c>
      <c r="G66" s="37">
        <v>116.49</v>
      </c>
      <c r="H66" s="37">
        <v>123.01</v>
      </c>
      <c r="I66" s="37">
        <v>116.12</v>
      </c>
      <c r="J66" s="37">
        <v>122.68</v>
      </c>
      <c r="K66" s="37">
        <v>122.69</v>
      </c>
    </row>
    <row r="67" spans="1:11" x14ac:dyDescent="0.25">
      <c r="A67" s="32">
        <v>39448</v>
      </c>
      <c r="B67" s="40">
        <v>127.21</v>
      </c>
      <c r="C67" s="37">
        <v>123.35</v>
      </c>
      <c r="D67" s="37">
        <v>124.05</v>
      </c>
      <c r="E67" s="37">
        <v>118.23</v>
      </c>
      <c r="F67" s="37">
        <v>132.22999999999999</v>
      </c>
      <c r="G67" s="37">
        <v>117</v>
      </c>
      <c r="H67" s="37">
        <v>122.3</v>
      </c>
      <c r="I67" s="37">
        <v>116.78</v>
      </c>
      <c r="J67" s="37">
        <v>123.88</v>
      </c>
      <c r="K67" s="37">
        <v>124.24</v>
      </c>
    </row>
    <row r="68" spans="1:11" x14ac:dyDescent="0.25">
      <c r="A68" s="32">
        <v>39479</v>
      </c>
      <c r="B68" s="40">
        <v>126.53</v>
      </c>
      <c r="C68" s="37">
        <v>120.94</v>
      </c>
      <c r="D68" s="37">
        <v>124.52</v>
      </c>
      <c r="E68" s="37">
        <v>119.61</v>
      </c>
      <c r="F68" s="37">
        <v>130.44999999999999</v>
      </c>
      <c r="G68" s="37">
        <v>118.1</v>
      </c>
      <c r="H68" s="37">
        <v>122.76</v>
      </c>
      <c r="I68" s="37">
        <v>114.68</v>
      </c>
      <c r="J68" s="37">
        <v>121.3</v>
      </c>
      <c r="K68" s="37">
        <v>126.19</v>
      </c>
    </row>
    <row r="69" spans="1:11" x14ac:dyDescent="0.25">
      <c r="A69" s="32">
        <v>39508</v>
      </c>
      <c r="B69" s="40">
        <v>126.75</v>
      </c>
      <c r="C69" s="37">
        <v>123.31</v>
      </c>
      <c r="D69" s="37">
        <v>125.51</v>
      </c>
      <c r="E69" s="37">
        <v>121.37</v>
      </c>
      <c r="F69" s="37">
        <v>133.80000000000001</v>
      </c>
      <c r="G69" s="37">
        <v>118.52</v>
      </c>
      <c r="H69" s="37">
        <v>124.03</v>
      </c>
      <c r="I69" s="37">
        <v>116.96</v>
      </c>
      <c r="J69" s="37">
        <v>123.51</v>
      </c>
      <c r="K69" s="37">
        <v>124.14</v>
      </c>
    </row>
    <row r="70" spans="1:11" x14ac:dyDescent="0.25">
      <c r="A70" s="32">
        <v>39539</v>
      </c>
      <c r="B70" s="40">
        <v>127.79</v>
      </c>
      <c r="C70" s="37">
        <v>124.49</v>
      </c>
      <c r="D70" s="37">
        <v>123.86</v>
      </c>
      <c r="E70" s="37">
        <v>120.66</v>
      </c>
      <c r="F70" s="37">
        <v>134.33000000000001</v>
      </c>
      <c r="G70" s="37">
        <v>105.99</v>
      </c>
      <c r="H70" s="37">
        <v>124.98</v>
      </c>
      <c r="I70" s="37">
        <v>116.88</v>
      </c>
      <c r="J70" s="37">
        <v>124.93</v>
      </c>
      <c r="K70" s="37">
        <v>125</v>
      </c>
    </row>
    <row r="71" spans="1:11" x14ac:dyDescent="0.25">
      <c r="A71" s="32">
        <v>39569</v>
      </c>
      <c r="B71" s="40">
        <v>129.52000000000001</v>
      </c>
      <c r="C71" s="37">
        <v>125.14</v>
      </c>
      <c r="D71" s="37">
        <v>124.67</v>
      </c>
      <c r="E71" s="37">
        <v>123.34</v>
      </c>
      <c r="F71" s="37">
        <v>134.44</v>
      </c>
      <c r="G71" s="37">
        <v>116.37</v>
      </c>
      <c r="H71" s="37">
        <v>124.28</v>
      </c>
      <c r="I71" s="37">
        <v>118.07</v>
      </c>
      <c r="J71" s="37">
        <v>125.01</v>
      </c>
      <c r="K71" s="37">
        <v>125.22</v>
      </c>
    </row>
    <row r="72" spans="1:11" x14ac:dyDescent="0.25">
      <c r="A72" s="32">
        <v>39600</v>
      </c>
      <c r="B72" s="40">
        <v>131.01</v>
      </c>
      <c r="C72" s="37">
        <v>127.17</v>
      </c>
      <c r="D72" s="37">
        <v>125.63</v>
      </c>
      <c r="E72" s="37">
        <v>126.4</v>
      </c>
      <c r="F72" s="37">
        <v>137.25</v>
      </c>
      <c r="G72" s="37">
        <v>120.82</v>
      </c>
      <c r="H72" s="37">
        <v>127.46</v>
      </c>
      <c r="I72" s="37">
        <v>119.41</v>
      </c>
      <c r="J72" s="37">
        <v>127.7</v>
      </c>
      <c r="K72" s="37">
        <v>125.77</v>
      </c>
    </row>
    <row r="73" spans="1:11" x14ac:dyDescent="0.25">
      <c r="A73" s="32">
        <v>39630</v>
      </c>
      <c r="B73" s="40">
        <v>130.82</v>
      </c>
      <c r="C73" s="37">
        <v>127.44</v>
      </c>
      <c r="D73" s="37">
        <v>125.6</v>
      </c>
      <c r="E73" s="37">
        <v>125.89</v>
      </c>
      <c r="F73" s="37">
        <v>136.91</v>
      </c>
      <c r="G73" s="37">
        <v>117.88</v>
      </c>
      <c r="H73" s="37">
        <v>126.93</v>
      </c>
      <c r="I73" s="37">
        <v>119.24</v>
      </c>
      <c r="J73" s="37">
        <v>128.06</v>
      </c>
      <c r="K73" s="37">
        <v>126.32</v>
      </c>
    </row>
    <row r="74" spans="1:11" x14ac:dyDescent="0.25">
      <c r="A74" s="32">
        <v>39661</v>
      </c>
      <c r="B74" s="40">
        <v>131.04</v>
      </c>
      <c r="C74" s="37">
        <v>126.57</v>
      </c>
      <c r="D74" s="37">
        <v>126.61</v>
      </c>
      <c r="E74" s="37">
        <v>127.8</v>
      </c>
      <c r="F74" s="37">
        <v>135.77000000000001</v>
      </c>
      <c r="G74" s="37">
        <v>118.29</v>
      </c>
      <c r="H74" s="37">
        <v>127.98</v>
      </c>
      <c r="I74" s="37">
        <v>119.57</v>
      </c>
      <c r="J74" s="37">
        <v>127.9</v>
      </c>
      <c r="K74" s="37">
        <v>125.9</v>
      </c>
    </row>
    <row r="75" spans="1:11" x14ac:dyDescent="0.25">
      <c r="A75" s="32">
        <v>39692</v>
      </c>
      <c r="B75" s="40">
        <v>130.66999999999999</v>
      </c>
      <c r="C75" s="37">
        <v>126.45</v>
      </c>
      <c r="D75" s="37">
        <v>127.89</v>
      </c>
      <c r="E75" s="37">
        <v>126.45</v>
      </c>
      <c r="F75" s="37">
        <v>137.33000000000001</v>
      </c>
      <c r="G75" s="37">
        <v>121.61</v>
      </c>
      <c r="H75" s="37">
        <v>129.26</v>
      </c>
      <c r="I75" s="37">
        <v>120.12</v>
      </c>
      <c r="J75" s="37">
        <v>129.75</v>
      </c>
      <c r="K75" s="37">
        <v>126.49</v>
      </c>
    </row>
    <row r="76" spans="1:11" x14ac:dyDescent="0.25">
      <c r="A76" s="32">
        <v>39722</v>
      </c>
      <c r="B76" s="40">
        <v>128.13</v>
      </c>
      <c r="C76" s="37">
        <v>125.77</v>
      </c>
      <c r="D76" s="37">
        <v>126.4</v>
      </c>
      <c r="E76" s="37">
        <v>129.47</v>
      </c>
      <c r="F76" s="37">
        <v>135.24</v>
      </c>
      <c r="G76" s="37">
        <v>118.56</v>
      </c>
      <c r="H76" s="37">
        <v>125.45</v>
      </c>
      <c r="I76" s="37">
        <v>119.88</v>
      </c>
      <c r="J76" s="37">
        <v>128.04</v>
      </c>
      <c r="K76" s="37">
        <v>124.55</v>
      </c>
    </row>
    <row r="77" spans="1:11" x14ac:dyDescent="0.25">
      <c r="A77" s="32">
        <v>39753</v>
      </c>
      <c r="B77" s="40">
        <v>124.9</v>
      </c>
      <c r="C77" s="37">
        <v>121.48</v>
      </c>
      <c r="D77" s="37">
        <v>125.92</v>
      </c>
      <c r="E77" s="37">
        <v>121.19</v>
      </c>
      <c r="F77" s="37">
        <v>133.41999999999999</v>
      </c>
      <c r="G77" s="37">
        <v>116.28</v>
      </c>
      <c r="H77" s="37">
        <v>123.34</v>
      </c>
      <c r="I77" s="37">
        <v>118.93</v>
      </c>
      <c r="J77" s="37">
        <v>126.67</v>
      </c>
      <c r="K77" s="37">
        <v>124.53</v>
      </c>
    </row>
    <row r="78" spans="1:11" x14ac:dyDescent="0.25">
      <c r="A78" s="32">
        <v>39783</v>
      </c>
      <c r="B78" s="40">
        <v>121.02</v>
      </c>
      <c r="C78" s="37">
        <v>117.88</v>
      </c>
      <c r="D78" s="37">
        <v>125.28</v>
      </c>
      <c r="E78" s="37">
        <v>120.71</v>
      </c>
      <c r="F78" s="37">
        <v>127.82</v>
      </c>
      <c r="G78" s="37">
        <v>111.65</v>
      </c>
      <c r="H78" s="37">
        <v>119.79</v>
      </c>
      <c r="I78" s="37">
        <v>117.35</v>
      </c>
      <c r="J78" s="37">
        <v>120.57</v>
      </c>
      <c r="K78" s="37">
        <v>123.16</v>
      </c>
    </row>
    <row r="79" spans="1:11" x14ac:dyDescent="0.25">
      <c r="A79" s="32">
        <v>39814</v>
      </c>
      <c r="B79" s="40">
        <v>120.87</v>
      </c>
      <c r="C79" s="37">
        <v>116.88</v>
      </c>
      <c r="D79" s="37">
        <v>127.05</v>
      </c>
      <c r="E79" s="37">
        <v>120.5</v>
      </c>
      <c r="F79" s="37">
        <v>130.13999999999999</v>
      </c>
      <c r="G79" s="37">
        <v>113.39</v>
      </c>
      <c r="H79" s="37">
        <v>122.8</v>
      </c>
      <c r="I79" s="37">
        <v>119.04</v>
      </c>
      <c r="J79" s="37">
        <v>121.48</v>
      </c>
      <c r="K79" s="37">
        <v>120.65</v>
      </c>
    </row>
    <row r="80" spans="1:11" x14ac:dyDescent="0.25">
      <c r="A80" s="32">
        <v>39845</v>
      </c>
      <c r="B80" s="40">
        <v>122.16</v>
      </c>
      <c r="C80" s="37">
        <v>119.54</v>
      </c>
      <c r="D80" s="37">
        <v>125.79</v>
      </c>
      <c r="E80" s="37">
        <v>121.82</v>
      </c>
      <c r="F80" s="37">
        <v>131.12</v>
      </c>
      <c r="G80" s="37">
        <v>116.16</v>
      </c>
      <c r="H80" s="37">
        <v>124.02</v>
      </c>
      <c r="I80" s="37">
        <v>119.9</v>
      </c>
      <c r="J80" s="37">
        <v>122.01</v>
      </c>
      <c r="K80" s="37">
        <v>123.49</v>
      </c>
    </row>
    <row r="81" spans="1:11" x14ac:dyDescent="0.25">
      <c r="A81" s="32">
        <v>39873</v>
      </c>
      <c r="B81" s="40">
        <v>123.29</v>
      </c>
      <c r="C81" s="37">
        <v>120.26</v>
      </c>
      <c r="D81" s="37">
        <v>126.61</v>
      </c>
      <c r="E81" s="37">
        <v>121.78</v>
      </c>
      <c r="F81" s="37">
        <v>131.07</v>
      </c>
      <c r="G81" s="37">
        <v>115.53</v>
      </c>
      <c r="H81" s="37">
        <v>122.84</v>
      </c>
      <c r="I81" s="37">
        <v>121.01</v>
      </c>
      <c r="J81" s="37">
        <v>121.04</v>
      </c>
      <c r="K81" s="37">
        <v>123.23</v>
      </c>
    </row>
    <row r="82" spans="1:11" x14ac:dyDescent="0.25">
      <c r="A82" s="32">
        <v>39904</v>
      </c>
      <c r="B82" s="40">
        <v>123.64</v>
      </c>
      <c r="C82" s="37">
        <v>120.44</v>
      </c>
      <c r="D82" s="37">
        <v>127.59</v>
      </c>
      <c r="E82" s="37">
        <v>122.56</v>
      </c>
      <c r="F82" s="37">
        <v>132.16999999999999</v>
      </c>
      <c r="G82" s="37">
        <v>118.17</v>
      </c>
      <c r="H82" s="37">
        <v>123.62</v>
      </c>
      <c r="I82" s="37">
        <v>120.94</v>
      </c>
      <c r="J82" s="37">
        <v>121.98</v>
      </c>
      <c r="K82" s="37">
        <v>121.55</v>
      </c>
    </row>
    <row r="83" spans="1:11" x14ac:dyDescent="0.25">
      <c r="A83" s="32">
        <v>39934</v>
      </c>
      <c r="B83" s="40">
        <v>124.84</v>
      </c>
      <c r="C83" s="37">
        <v>120.32</v>
      </c>
      <c r="D83" s="37">
        <v>127.64</v>
      </c>
      <c r="E83" s="37">
        <v>122.55</v>
      </c>
      <c r="F83" s="37">
        <v>133.55000000000001</v>
      </c>
      <c r="G83" s="37">
        <v>117.16</v>
      </c>
      <c r="H83" s="37">
        <v>125.29</v>
      </c>
      <c r="I83" s="37">
        <v>121.99</v>
      </c>
      <c r="J83" s="37">
        <v>122.54</v>
      </c>
      <c r="K83" s="37">
        <v>122.05</v>
      </c>
    </row>
    <row r="84" spans="1:11" x14ac:dyDescent="0.25">
      <c r="A84" s="32">
        <v>39965</v>
      </c>
      <c r="B84" s="40">
        <v>125.8</v>
      </c>
      <c r="C84" s="37">
        <v>121.31</v>
      </c>
      <c r="D84" s="37">
        <v>129.04</v>
      </c>
      <c r="E84" s="37">
        <v>124.47</v>
      </c>
      <c r="F84" s="37">
        <v>133.78</v>
      </c>
      <c r="G84" s="37">
        <v>117.52</v>
      </c>
      <c r="H84" s="37">
        <v>126.27</v>
      </c>
      <c r="I84" s="37">
        <v>122.06</v>
      </c>
      <c r="J84" s="37">
        <v>120.83</v>
      </c>
      <c r="K84" s="37">
        <v>124.85</v>
      </c>
    </row>
    <row r="85" spans="1:11" x14ac:dyDescent="0.25">
      <c r="A85" s="32">
        <v>39995</v>
      </c>
      <c r="B85" s="40">
        <v>126.31</v>
      </c>
      <c r="C85" s="37">
        <v>121.46</v>
      </c>
      <c r="D85" s="37">
        <v>129.24</v>
      </c>
      <c r="E85" s="37">
        <v>125.5</v>
      </c>
      <c r="F85" s="37">
        <v>133.25</v>
      </c>
      <c r="G85" s="37">
        <v>117.49</v>
      </c>
      <c r="H85" s="37">
        <v>126.25</v>
      </c>
      <c r="I85" s="37">
        <v>122.57</v>
      </c>
      <c r="J85" s="37">
        <v>122.34</v>
      </c>
      <c r="K85" s="37">
        <v>123.5</v>
      </c>
    </row>
    <row r="86" spans="1:11" x14ac:dyDescent="0.25">
      <c r="A86" s="32">
        <v>40026</v>
      </c>
      <c r="B86" s="40">
        <v>127.96</v>
      </c>
      <c r="C86" s="37">
        <v>123.1</v>
      </c>
      <c r="D86" s="37">
        <v>131.87</v>
      </c>
      <c r="E86" s="37">
        <v>126.22</v>
      </c>
      <c r="F86" s="37">
        <v>133.72999999999999</v>
      </c>
      <c r="G86" s="37">
        <v>118.27</v>
      </c>
      <c r="H86" s="37">
        <v>126.64</v>
      </c>
      <c r="I86" s="37">
        <v>122.35</v>
      </c>
      <c r="J86" s="37">
        <v>123.91</v>
      </c>
      <c r="K86" s="37">
        <v>126.85</v>
      </c>
    </row>
    <row r="87" spans="1:11" x14ac:dyDescent="0.25">
      <c r="A87" s="32">
        <v>40057</v>
      </c>
      <c r="B87" s="40">
        <v>129.12</v>
      </c>
      <c r="C87" s="37">
        <v>125.34</v>
      </c>
      <c r="D87" s="37">
        <v>133.1</v>
      </c>
      <c r="E87" s="37">
        <v>127.64</v>
      </c>
      <c r="F87" s="37">
        <v>136.58000000000001</v>
      </c>
      <c r="G87" s="37">
        <v>119.42</v>
      </c>
      <c r="H87" s="37">
        <v>129.30000000000001</v>
      </c>
      <c r="I87" s="37">
        <v>124.35</v>
      </c>
      <c r="J87" s="37">
        <v>122.8</v>
      </c>
      <c r="K87" s="37">
        <v>128.11000000000001</v>
      </c>
    </row>
    <row r="88" spans="1:11" x14ac:dyDescent="0.25">
      <c r="A88" s="32">
        <v>40087</v>
      </c>
      <c r="B88" s="40">
        <v>129.80000000000001</v>
      </c>
      <c r="C88" s="37">
        <v>126.32</v>
      </c>
      <c r="D88" s="37">
        <v>131.99</v>
      </c>
      <c r="E88" s="37">
        <v>127.76</v>
      </c>
      <c r="F88" s="37">
        <v>137.35</v>
      </c>
      <c r="G88" s="37">
        <v>120.53</v>
      </c>
      <c r="H88" s="37">
        <v>129.9</v>
      </c>
      <c r="I88" s="37">
        <v>123.81</v>
      </c>
      <c r="J88" s="37">
        <v>126.52</v>
      </c>
      <c r="K88" s="37">
        <v>128</v>
      </c>
    </row>
    <row r="89" spans="1:11" x14ac:dyDescent="0.25">
      <c r="A89" s="32">
        <v>40118</v>
      </c>
      <c r="B89" s="40">
        <v>129.97999999999999</v>
      </c>
      <c r="C89" s="37">
        <v>127.39</v>
      </c>
      <c r="D89" s="37">
        <v>134.25</v>
      </c>
      <c r="E89" s="37">
        <v>128.44</v>
      </c>
      <c r="F89" s="37">
        <v>139.43</v>
      </c>
      <c r="G89" s="37">
        <v>121.27</v>
      </c>
      <c r="H89" s="37">
        <v>131.16</v>
      </c>
      <c r="I89" s="37">
        <v>123.68</v>
      </c>
      <c r="J89" s="37">
        <v>128.80000000000001</v>
      </c>
      <c r="K89" s="37">
        <v>130.13999999999999</v>
      </c>
    </row>
    <row r="90" spans="1:11" x14ac:dyDescent="0.25">
      <c r="A90" s="32">
        <v>40148</v>
      </c>
      <c r="B90" s="40">
        <v>131.24</v>
      </c>
      <c r="C90" s="37">
        <v>127.7</v>
      </c>
      <c r="D90" s="37">
        <v>135</v>
      </c>
      <c r="E90" s="37">
        <v>129.61000000000001</v>
      </c>
      <c r="F90" s="37">
        <v>140.57</v>
      </c>
      <c r="G90" s="37">
        <v>123.55</v>
      </c>
      <c r="H90" s="37">
        <v>131.59</v>
      </c>
      <c r="I90" s="37">
        <v>124.56</v>
      </c>
      <c r="J90" s="37">
        <v>131.35</v>
      </c>
      <c r="K90" s="37">
        <v>132.66999999999999</v>
      </c>
    </row>
    <row r="91" spans="1:11" x14ac:dyDescent="0.25">
      <c r="A91" s="32">
        <v>40179</v>
      </c>
      <c r="B91" s="40">
        <v>133.51</v>
      </c>
      <c r="C91" s="37">
        <v>129.08000000000001</v>
      </c>
      <c r="D91" s="37">
        <v>134.81</v>
      </c>
      <c r="E91" s="37">
        <v>131.81</v>
      </c>
      <c r="F91" s="37">
        <v>141.65</v>
      </c>
      <c r="G91" s="37">
        <v>122.95</v>
      </c>
      <c r="H91" s="37">
        <v>134.16</v>
      </c>
      <c r="I91" s="37">
        <v>126.1</v>
      </c>
      <c r="J91" s="37">
        <v>132.75</v>
      </c>
      <c r="K91" s="37">
        <v>131.28</v>
      </c>
    </row>
    <row r="92" spans="1:11" x14ac:dyDescent="0.25">
      <c r="A92" s="32">
        <v>40210</v>
      </c>
      <c r="B92" s="40">
        <v>135.22999999999999</v>
      </c>
      <c r="C92" s="37">
        <v>131.6</v>
      </c>
      <c r="D92" s="37">
        <v>137.68</v>
      </c>
      <c r="E92" s="37">
        <v>131.52000000000001</v>
      </c>
      <c r="F92" s="37">
        <v>142.69999999999999</v>
      </c>
      <c r="G92" s="37">
        <v>123.34</v>
      </c>
      <c r="H92" s="37">
        <v>134.4</v>
      </c>
      <c r="I92" s="37">
        <v>128.43</v>
      </c>
      <c r="J92" s="37">
        <v>134.83000000000001</v>
      </c>
      <c r="K92" s="37">
        <v>131.43</v>
      </c>
    </row>
    <row r="93" spans="1:11" x14ac:dyDescent="0.25">
      <c r="A93" s="32">
        <v>40238</v>
      </c>
      <c r="B93" s="40">
        <v>136.69</v>
      </c>
      <c r="C93" s="37">
        <v>132.87</v>
      </c>
      <c r="D93" s="37">
        <v>139.96</v>
      </c>
      <c r="E93" s="37">
        <v>133.04</v>
      </c>
      <c r="F93" s="37">
        <v>143.43</v>
      </c>
      <c r="G93" s="37">
        <v>125.49</v>
      </c>
      <c r="H93" s="37">
        <v>136.51</v>
      </c>
      <c r="I93" s="37">
        <v>126.6</v>
      </c>
      <c r="J93" s="37">
        <v>139.01</v>
      </c>
      <c r="K93" s="37">
        <v>133.04</v>
      </c>
    </row>
    <row r="94" spans="1:11" x14ac:dyDescent="0.25">
      <c r="A94" s="32">
        <v>40269</v>
      </c>
      <c r="B94" s="40">
        <v>137.13</v>
      </c>
      <c r="C94" s="37">
        <v>132.29</v>
      </c>
      <c r="D94" s="37">
        <v>138.53</v>
      </c>
      <c r="E94" s="37">
        <v>132.84</v>
      </c>
      <c r="F94" s="37">
        <v>144.04</v>
      </c>
      <c r="G94" s="37">
        <v>125.69</v>
      </c>
      <c r="H94" s="37">
        <v>137.13999999999999</v>
      </c>
      <c r="I94" s="37">
        <v>126.99</v>
      </c>
      <c r="J94" s="37">
        <v>135.43</v>
      </c>
      <c r="K94" s="37">
        <v>133.94</v>
      </c>
    </row>
    <row r="95" spans="1:11" x14ac:dyDescent="0.25">
      <c r="A95" s="32">
        <v>40299</v>
      </c>
      <c r="B95" s="40">
        <v>136.52000000000001</v>
      </c>
      <c r="C95" s="37">
        <v>132.27000000000001</v>
      </c>
      <c r="D95" s="37">
        <v>140.01</v>
      </c>
      <c r="E95" s="37">
        <v>132.72</v>
      </c>
      <c r="F95" s="37">
        <v>143.91999999999999</v>
      </c>
      <c r="G95" s="37">
        <v>124.99</v>
      </c>
      <c r="H95" s="37">
        <v>135.5</v>
      </c>
      <c r="I95" s="37">
        <v>127.99</v>
      </c>
      <c r="J95" s="37">
        <v>136.41999999999999</v>
      </c>
      <c r="K95" s="37">
        <v>134.21</v>
      </c>
    </row>
    <row r="96" spans="1:11" x14ac:dyDescent="0.25">
      <c r="A96" s="32">
        <v>40330</v>
      </c>
      <c r="B96" s="40">
        <v>136.18</v>
      </c>
      <c r="C96" s="37">
        <v>132.15</v>
      </c>
      <c r="D96" s="37">
        <v>138.72</v>
      </c>
      <c r="E96" s="37">
        <v>132.69</v>
      </c>
      <c r="F96" s="37">
        <v>144.05000000000001</v>
      </c>
      <c r="G96" s="37">
        <v>124.12</v>
      </c>
      <c r="H96" s="37">
        <v>133.96</v>
      </c>
      <c r="I96" s="37">
        <v>128.44999999999999</v>
      </c>
      <c r="J96" s="37">
        <v>136.88999999999999</v>
      </c>
      <c r="K96" s="37">
        <v>133.38999999999999</v>
      </c>
    </row>
    <row r="97" spans="1:11" x14ac:dyDescent="0.25">
      <c r="A97" s="32">
        <v>40360</v>
      </c>
      <c r="B97" s="40">
        <v>136.84</v>
      </c>
      <c r="C97" s="37">
        <v>132.65</v>
      </c>
      <c r="D97" s="37">
        <v>140.43</v>
      </c>
      <c r="E97" s="37">
        <v>133.27000000000001</v>
      </c>
      <c r="F97" s="37">
        <v>144.08000000000001</v>
      </c>
      <c r="G97" s="37">
        <v>125.93</v>
      </c>
      <c r="H97" s="37">
        <v>131.6</v>
      </c>
      <c r="I97" s="37">
        <v>129.03</v>
      </c>
      <c r="J97" s="37">
        <v>136.32</v>
      </c>
      <c r="K97" s="37">
        <v>134.62</v>
      </c>
    </row>
    <row r="98" spans="1:11" x14ac:dyDescent="0.25">
      <c r="A98" s="32">
        <v>40391</v>
      </c>
      <c r="B98" s="40">
        <v>137.63</v>
      </c>
      <c r="C98" s="37">
        <v>133.30000000000001</v>
      </c>
      <c r="D98" s="37">
        <v>141.16</v>
      </c>
      <c r="E98" s="37">
        <v>133.28</v>
      </c>
      <c r="F98" s="37">
        <v>145.38999999999999</v>
      </c>
      <c r="G98" s="37">
        <v>126.24</v>
      </c>
      <c r="H98" s="37">
        <v>132.69999999999999</v>
      </c>
      <c r="I98" s="37">
        <v>129.63999999999999</v>
      </c>
      <c r="J98" s="37">
        <v>135.62</v>
      </c>
      <c r="K98" s="37">
        <v>135.68</v>
      </c>
    </row>
    <row r="99" spans="1:11" x14ac:dyDescent="0.25">
      <c r="A99" s="32">
        <v>40422</v>
      </c>
      <c r="B99" s="40">
        <v>139.29</v>
      </c>
      <c r="C99" s="37">
        <v>133.51</v>
      </c>
      <c r="D99" s="37">
        <v>142.52000000000001</v>
      </c>
      <c r="E99" s="37">
        <v>134.24</v>
      </c>
      <c r="F99" s="37">
        <v>145.13</v>
      </c>
      <c r="G99" s="37">
        <v>124.78</v>
      </c>
      <c r="H99" s="37">
        <v>132.85</v>
      </c>
      <c r="I99" s="37">
        <v>129.82</v>
      </c>
      <c r="J99" s="37">
        <v>137.69</v>
      </c>
      <c r="K99" s="37">
        <v>135.31</v>
      </c>
    </row>
    <row r="100" spans="1:11" x14ac:dyDescent="0.25">
      <c r="A100" s="32">
        <v>40452</v>
      </c>
      <c r="B100" s="40">
        <v>138.86000000000001</v>
      </c>
      <c r="C100" s="37">
        <v>134.36000000000001</v>
      </c>
      <c r="D100" s="37">
        <v>143.96</v>
      </c>
      <c r="E100" s="37">
        <v>134.03</v>
      </c>
      <c r="F100" s="37">
        <v>145.79</v>
      </c>
      <c r="G100" s="37">
        <v>125.25</v>
      </c>
      <c r="H100" s="37">
        <v>134.47</v>
      </c>
      <c r="I100" s="37">
        <v>130.59</v>
      </c>
      <c r="J100" s="37">
        <v>138.09</v>
      </c>
      <c r="K100" s="37">
        <v>137.36000000000001</v>
      </c>
    </row>
    <row r="101" spans="1:11" x14ac:dyDescent="0.25">
      <c r="A101" s="32">
        <v>40483</v>
      </c>
      <c r="B101" s="40">
        <v>140.07</v>
      </c>
      <c r="C101" s="37">
        <v>135</v>
      </c>
      <c r="D101" s="37">
        <v>145.03</v>
      </c>
      <c r="E101" s="37">
        <v>135.07</v>
      </c>
      <c r="F101" s="37">
        <v>146.77000000000001</v>
      </c>
      <c r="G101" s="37">
        <v>128.09</v>
      </c>
      <c r="H101" s="37">
        <v>136.38999999999999</v>
      </c>
      <c r="I101" s="37">
        <v>131.26</v>
      </c>
      <c r="J101" s="37">
        <v>138.47999999999999</v>
      </c>
      <c r="K101" s="37">
        <v>137.41</v>
      </c>
    </row>
    <row r="102" spans="1:11" x14ac:dyDescent="0.25">
      <c r="A102" s="32">
        <v>40513</v>
      </c>
      <c r="B102" s="40">
        <v>138.58000000000001</v>
      </c>
      <c r="C102" s="37">
        <v>137.6</v>
      </c>
      <c r="D102" s="37">
        <v>146.79</v>
      </c>
      <c r="E102" s="37">
        <v>135.99</v>
      </c>
      <c r="F102" s="37">
        <v>146.80000000000001</v>
      </c>
      <c r="G102" s="37">
        <v>129.74</v>
      </c>
      <c r="H102" s="37">
        <v>142</v>
      </c>
      <c r="I102" s="37">
        <v>130.91999999999999</v>
      </c>
      <c r="J102" s="37">
        <v>139.69</v>
      </c>
      <c r="K102" s="37">
        <v>137.66999999999999</v>
      </c>
    </row>
    <row r="103" spans="1:11" x14ac:dyDescent="0.25">
      <c r="A103" s="32">
        <v>40544</v>
      </c>
      <c r="B103" s="40">
        <v>140.18</v>
      </c>
      <c r="C103" s="37">
        <v>136.97999999999999</v>
      </c>
      <c r="D103" s="37">
        <v>143.88999999999999</v>
      </c>
      <c r="E103" s="37">
        <v>134.63999999999999</v>
      </c>
      <c r="F103" s="37">
        <v>147.57</v>
      </c>
      <c r="G103" s="37">
        <v>130.08000000000001</v>
      </c>
      <c r="H103" s="37">
        <v>141.26</v>
      </c>
      <c r="I103" s="37">
        <v>130.63</v>
      </c>
      <c r="J103" s="37">
        <v>141.18</v>
      </c>
      <c r="K103" s="37">
        <v>136.15</v>
      </c>
    </row>
    <row r="104" spans="1:11" x14ac:dyDescent="0.25">
      <c r="A104" s="32">
        <v>40575</v>
      </c>
      <c r="B104" s="40">
        <v>140.6</v>
      </c>
      <c r="C104" s="37">
        <v>137.85</v>
      </c>
      <c r="D104" s="37">
        <v>145.63999999999999</v>
      </c>
      <c r="E104" s="37">
        <v>135.66999999999999</v>
      </c>
      <c r="F104" s="37">
        <v>147.97</v>
      </c>
      <c r="G104" s="37">
        <v>130.11000000000001</v>
      </c>
      <c r="H104" s="37">
        <v>138.79</v>
      </c>
      <c r="I104" s="37">
        <v>131.11000000000001</v>
      </c>
      <c r="J104" s="37">
        <v>140.22999999999999</v>
      </c>
      <c r="K104" s="37">
        <v>134.62</v>
      </c>
    </row>
    <row r="105" spans="1:11" x14ac:dyDescent="0.25">
      <c r="A105" s="32">
        <v>40603</v>
      </c>
      <c r="B105" s="40">
        <v>141.32</v>
      </c>
      <c r="C105" s="37">
        <v>137.44</v>
      </c>
      <c r="D105" s="37">
        <v>145.91999999999999</v>
      </c>
      <c r="E105" s="37">
        <v>137.03</v>
      </c>
      <c r="F105" s="37">
        <v>148.44999999999999</v>
      </c>
      <c r="G105" s="37">
        <v>131.77000000000001</v>
      </c>
      <c r="H105" s="37">
        <v>138.66999999999999</v>
      </c>
      <c r="I105" s="37">
        <v>131.09</v>
      </c>
      <c r="J105" s="37">
        <v>140.63</v>
      </c>
      <c r="K105" s="37">
        <v>137.58000000000001</v>
      </c>
    </row>
    <row r="106" spans="1:11" x14ac:dyDescent="0.25">
      <c r="A106" s="32">
        <v>40634</v>
      </c>
      <c r="B106" s="40">
        <v>140.97999999999999</v>
      </c>
      <c r="C106" s="37">
        <v>136.66</v>
      </c>
      <c r="D106" s="37">
        <v>146.22999999999999</v>
      </c>
      <c r="E106" s="37">
        <v>137.4</v>
      </c>
      <c r="F106" s="37">
        <v>146.19999999999999</v>
      </c>
      <c r="G106" s="37">
        <v>129.85</v>
      </c>
      <c r="H106" s="37">
        <v>136.53</v>
      </c>
      <c r="I106" s="37">
        <v>131.71</v>
      </c>
      <c r="J106" s="37">
        <v>141.35</v>
      </c>
      <c r="K106" s="37">
        <v>138.6</v>
      </c>
    </row>
    <row r="107" spans="1:11" x14ac:dyDescent="0.25">
      <c r="A107" s="32">
        <v>40664</v>
      </c>
      <c r="B107" s="40">
        <v>141.22999999999999</v>
      </c>
      <c r="C107" s="37">
        <v>138.02000000000001</v>
      </c>
      <c r="D107" s="37">
        <v>147.16</v>
      </c>
      <c r="E107" s="37">
        <v>145.84</v>
      </c>
      <c r="F107" s="37">
        <v>148.59</v>
      </c>
      <c r="G107" s="37">
        <v>132.08000000000001</v>
      </c>
      <c r="H107" s="37">
        <v>136.96</v>
      </c>
      <c r="I107" s="37">
        <v>130.72999999999999</v>
      </c>
      <c r="J107" s="37">
        <v>142.49</v>
      </c>
      <c r="K107" s="37">
        <v>139.44</v>
      </c>
    </row>
    <row r="108" spans="1:11" x14ac:dyDescent="0.25">
      <c r="A108" s="32">
        <v>40695</v>
      </c>
      <c r="B108" s="40">
        <v>142.16</v>
      </c>
      <c r="C108" s="37">
        <v>135.75</v>
      </c>
      <c r="D108" s="37">
        <v>147.99</v>
      </c>
      <c r="E108" s="37">
        <v>143.38</v>
      </c>
      <c r="F108" s="37">
        <v>146.84</v>
      </c>
      <c r="G108" s="37">
        <v>130.85</v>
      </c>
      <c r="H108" s="37">
        <v>134.96</v>
      </c>
      <c r="I108" s="37">
        <v>129.94999999999999</v>
      </c>
      <c r="J108" s="37">
        <v>142.99</v>
      </c>
      <c r="K108" s="37">
        <v>142.22</v>
      </c>
    </row>
    <row r="109" spans="1:11" x14ac:dyDescent="0.25">
      <c r="A109" s="32">
        <v>40725</v>
      </c>
      <c r="B109" s="40">
        <v>142.29</v>
      </c>
      <c r="C109" s="37">
        <v>136.30000000000001</v>
      </c>
      <c r="D109" s="37">
        <v>149.08000000000001</v>
      </c>
      <c r="E109" s="37">
        <v>142.9</v>
      </c>
      <c r="F109" s="37">
        <v>148.93</v>
      </c>
      <c r="G109" s="37">
        <v>131.01</v>
      </c>
      <c r="H109" s="37">
        <v>136.99</v>
      </c>
      <c r="I109" s="37">
        <v>130.46</v>
      </c>
      <c r="J109" s="37">
        <v>143.99</v>
      </c>
      <c r="K109" s="37">
        <v>139.13999999999999</v>
      </c>
    </row>
    <row r="110" spans="1:11" x14ac:dyDescent="0.25">
      <c r="A110" s="32">
        <v>40756</v>
      </c>
      <c r="B110" s="40">
        <v>141.83000000000001</v>
      </c>
      <c r="C110" s="37">
        <v>136.43</v>
      </c>
      <c r="D110" s="37">
        <v>148.75</v>
      </c>
      <c r="E110" s="37">
        <v>143.53</v>
      </c>
      <c r="F110" s="37">
        <v>148.44</v>
      </c>
      <c r="G110" s="37">
        <v>129.93</v>
      </c>
      <c r="H110" s="37">
        <v>136.96</v>
      </c>
      <c r="I110" s="37">
        <v>130.74</v>
      </c>
      <c r="J110" s="37">
        <v>144.13999999999999</v>
      </c>
      <c r="K110" s="37">
        <v>139.27000000000001</v>
      </c>
    </row>
    <row r="111" spans="1:11" x14ac:dyDescent="0.25">
      <c r="A111" s="32">
        <v>40787</v>
      </c>
      <c r="B111" s="40">
        <v>141.77000000000001</v>
      </c>
      <c r="C111" s="37">
        <v>136.56</v>
      </c>
      <c r="D111" s="37">
        <v>151.93</v>
      </c>
      <c r="E111" s="37">
        <v>141.97</v>
      </c>
      <c r="F111" s="37">
        <v>148.09</v>
      </c>
      <c r="G111" s="37">
        <v>131.53</v>
      </c>
      <c r="H111" s="37">
        <v>137.63999999999999</v>
      </c>
      <c r="I111" s="37">
        <v>130.94999999999999</v>
      </c>
      <c r="J111" s="37">
        <v>145.4</v>
      </c>
      <c r="K111" s="37">
        <v>138.80000000000001</v>
      </c>
    </row>
    <row r="112" spans="1:11" x14ac:dyDescent="0.25">
      <c r="A112" s="32">
        <v>40817</v>
      </c>
      <c r="B112" s="40">
        <v>141.44</v>
      </c>
      <c r="C112" s="37">
        <v>136.94</v>
      </c>
      <c r="D112" s="37">
        <v>151.62</v>
      </c>
      <c r="E112" s="37">
        <v>136.81</v>
      </c>
      <c r="F112" s="37">
        <v>146.69</v>
      </c>
      <c r="G112" s="37">
        <v>131.56</v>
      </c>
      <c r="H112" s="37">
        <v>136.72</v>
      </c>
      <c r="I112" s="37">
        <v>130.80000000000001</v>
      </c>
      <c r="J112" s="37">
        <v>144.96</v>
      </c>
      <c r="K112" s="37">
        <v>139.33000000000001</v>
      </c>
    </row>
    <row r="113" spans="1:11" x14ac:dyDescent="0.25">
      <c r="A113" s="32">
        <v>40848</v>
      </c>
      <c r="B113" s="40">
        <v>142.27000000000001</v>
      </c>
      <c r="C113" s="37">
        <v>139.80000000000001</v>
      </c>
      <c r="D113" s="37">
        <v>150.49</v>
      </c>
      <c r="E113" s="37">
        <v>135.96</v>
      </c>
      <c r="F113" s="37">
        <v>147.69999999999999</v>
      </c>
      <c r="G113" s="37">
        <v>130.83000000000001</v>
      </c>
      <c r="H113" s="37">
        <v>138.38999999999999</v>
      </c>
      <c r="I113" s="37">
        <v>131.71</v>
      </c>
      <c r="J113" s="37">
        <v>146.76</v>
      </c>
      <c r="K113" s="37">
        <v>139.83000000000001</v>
      </c>
    </row>
    <row r="114" spans="1:11" x14ac:dyDescent="0.25">
      <c r="A114" s="32">
        <v>40878</v>
      </c>
      <c r="B114" s="40">
        <v>140.41</v>
      </c>
      <c r="C114" s="37">
        <v>139.74</v>
      </c>
      <c r="D114" s="37">
        <v>146.44</v>
      </c>
      <c r="E114" s="37">
        <v>138.01</v>
      </c>
      <c r="F114" s="37">
        <v>149.28</v>
      </c>
      <c r="G114" s="37">
        <v>135.58000000000001</v>
      </c>
      <c r="H114" s="37">
        <v>143.29</v>
      </c>
      <c r="I114" s="37">
        <v>131.5</v>
      </c>
      <c r="J114" s="37">
        <v>151.69999999999999</v>
      </c>
      <c r="K114" s="37">
        <v>140.16</v>
      </c>
    </row>
    <row r="115" spans="1:11" x14ac:dyDescent="0.25">
      <c r="A115" s="32">
        <v>40909</v>
      </c>
      <c r="B115" s="40">
        <v>138.79</v>
      </c>
      <c r="C115" s="37">
        <v>134.44</v>
      </c>
      <c r="D115" s="37">
        <v>151.1</v>
      </c>
      <c r="E115" s="37">
        <v>137.91</v>
      </c>
      <c r="F115" s="37">
        <v>148.69</v>
      </c>
      <c r="G115" s="37">
        <v>131.96</v>
      </c>
      <c r="H115" s="37">
        <v>137.29</v>
      </c>
      <c r="I115" s="37">
        <v>130.30000000000001</v>
      </c>
      <c r="J115" s="37">
        <v>144.53</v>
      </c>
      <c r="K115" s="37">
        <v>140.08000000000001</v>
      </c>
    </row>
    <row r="116" spans="1:11" x14ac:dyDescent="0.25">
      <c r="A116" s="32">
        <v>40940</v>
      </c>
      <c r="B116" s="40">
        <v>140.33000000000001</v>
      </c>
      <c r="C116" s="37">
        <v>136.41999999999999</v>
      </c>
      <c r="D116" s="37">
        <v>151.38</v>
      </c>
      <c r="E116" s="37">
        <v>138.46</v>
      </c>
      <c r="F116" s="37">
        <v>147.01</v>
      </c>
      <c r="G116" s="37">
        <v>127.74</v>
      </c>
      <c r="H116" s="37">
        <v>137.13</v>
      </c>
      <c r="I116" s="37">
        <v>130.37</v>
      </c>
      <c r="J116" s="37">
        <v>140.1</v>
      </c>
      <c r="K116" s="37">
        <v>140.32</v>
      </c>
    </row>
    <row r="117" spans="1:11" x14ac:dyDescent="0.25">
      <c r="A117" s="32">
        <v>40969</v>
      </c>
      <c r="B117" s="40">
        <v>139.91</v>
      </c>
      <c r="C117" s="37">
        <v>139.61000000000001</v>
      </c>
      <c r="D117" s="37">
        <v>151.47</v>
      </c>
      <c r="E117" s="37">
        <v>138.24</v>
      </c>
      <c r="F117" s="37">
        <v>149.16999999999999</v>
      </c>
      <c r="G117" s="37">
        <v>121.83</v>
      </c>
      <c r="H117" s="37">
        <v>137.41999999999999</v>
      </c>
      <c r="I117" s="37">
        <v>131.71</v>
      </c>
      <c r="J117" s="37">
        <v>138.6</v>
      </c>
      <c r="K117" s="37">
        <v>140.28</v>
      </c>
    </row>
    <row r="118" spans="1:11" x14ac:dyDescent="0.25">
      <c r="A118" s="32">
        <v>41000</v>
      </c>
      <c r="B118" s="40">
        <v>141.19999999999999</v>
      </c>
      <c r="C118" s="37">
        <v>140.22999999999999</v>
      </c>
      <c r="D118" s="37">
        <v>152.07</v>
      </c>
      <c r="E118" s="37">
        <v>137.28</v>
      </c>
      <c r="F118" s="37">
        <v>149.09</v>
      </c>
      <c r="G118" s="37">
        <v>115.74</v>
      </c>
      <c r="H118" s="37">
        <v>138.68</v>
      </c>
      <c r="I118" s="37">
        <v>132.1</v>
      </c>
      <c r="J118" s="37">
        <v>143.75</v>
      </c>
      <c r="K118" s="37">
        <v>140.08000000000001</v>
      </c>
    </row>
    <row r="119" spans="1:11" x14ac:dyDescent="0.25">
      <c r="A119" s="32">
        <v>41030</v>
      </c>
      <c r="B119" s="40">
        <v>142.74</v>
      </c>
      <c r="C119" s="37">
        <v>141.99</v>
      </c>
      <c r="D119" s="37">
        <v>152.31</v>
      </c>
      <c r="E119" s="37">
        <v>137.35</v>
      </c>
      <c r="F119" s="37">
        <v>149.22999999999999</v>
      </c>
      <c r="G119" s="37">
        <v>129.9</v>
      </c>
      <c r="H119" s="37">
        <v>141.16</v>
      </c>
      <c r="I119" s="37">
        <v>132.13999999999999</v>
      </c>
      <c r="J119" s="37">
        <v>145.52000000000001</v>
      </c>
      <c r="K119" s="37">
        <v>140.77000000000001</v>
      </c>
    </row>
    <row r="120" spans="1:11" x14ac:dyDescent="0.25">
      <c r="A120" s="32">
        <v>41061</v>
      </c>
      <c r="B120" s="40">
        <v>143.65</v>
      </c>
      <c r="C120" s="37">
        <v>147.32</v>
      </c>
      <c r="D120" s="37">
        <v>153.61000000000001</v>
      </c>
      <c r="E120" s="37">
        <v>137.97999999999999</v>
      </c>
      <c r="F120" s="37">
        <v>149.77000000000001</v>
      </c>
      <c r="G120" s="37">
        <v>132.66</v>
      </c>
      <c r="H120" s="37">
        <v>141.88999999999999</v>
      </c>
      <c r="I120" s="37">
        <v>132.80000000000001</v>
      </c>
      <c r="J120" s="37">
        <v>146.51</v>
      </c>
      <c r="K120" s="37">
        <v>139.97</v>
      </c>
    </row>
    <row r="121" spans="1:11" x14ac:dyDescent="0.25">
      <c r="A121" s="32">
        <v>41091</v>
      </c>
      <c r="B121" s="40">
        <v>143.88999999999999</v>
      </c>
      <c r="C121" s="37">
        <v>148.72</v>
      </c>
      <c r="D121" s="37">
        <v>152.91</v>
      </c>
      <c r="E121" s="37">
        <v>138.13</v>
      </c>
      <c r="F121" s="37">
        <v>151.77000000000001</v>
      </c>
      <c r="G121" s="37">
        <v>133.52000000000001</v>
      </c>
      <c r="H121" s="37">
        <v>142.79</v>
      </c>
      <c r="I121" s="37">
        <v>132.75</v>
      </c>
      <c r="J121" s="37">
        <v>147.5</v>
      </c>
      <c r="K121" s="37">
        <v>140.30000000000001</v>
      </c>
    </row>
    <row r="122" spans="1:11" x14ac:dyDescent="0.25">
      <c r="A122" s="32">
        <v>41122</v>
      </c>
      <c r="B122" s="40">
        <v>144.38999999999999</v>
      </c>
      <c r="C122" s="37">
        <v>143.21</v>
      </c>
      <c r="D122" s="37">
        <v>153.54</v>
      </c>
      <c r="E122" s="37">
        <v>138.02000000000001</v>
      </c>
      <c r="F122" s="37">
        <v>153.07</v>
      </c>
      <c r="G122" s="37">
        <v>136.25</v>
      </c>
      <c r="H122" s="37">
        <v>143.36000000000001</v>
      </c>
      <c r="I122" s="37">
        <v>133.13</v>
      </c>
      <c r="J122" s="37">
        <v>148.29</v>
      </c>
      <c r="K122" s="37">
        <v>139.58000000000001</v>
      </c>
    </row>
    <row r="123" spans="1:11" x14ac:dyDescent="0.25">
      <c r="A123" s="32">
        <v>41153</v>
      </c>
      <c r="B123" s="40">
        <v>143.55000000000001</v>
      </c>
      <c r="C123" s="37">
        <v>139.69999999999999</v>
      </c>
      <c r="D123" s="37">
        <v>152.28</v>
      </c>
      <c r="E123" s="37">
        <v>138.49</v>
      </c>
      <c r="F123" s="37">
        <v>151.62</v>
      </c>
      <c r="G123" s="37">
        <v>133.04</v>
      </c>
      <c r="H123" s="37">
        <v>141.31</v>
      </c>
      <c r="I123" s="37">
        <v>130.96</v>
      </c>
      <c r="J123" s="37">
        <v>146.61000000000001</v>
      </c>
      <c r="K123" s="37">
        <v>140.33000000000001</v>
      </c>
    </row>
    <row r="124" spans="1:11" x14ac:dyDescent="0.25">
      <c r="A124" s="32">
        <v>41183</v>
      </c>
      <c r="B124" s="40">
        <v>144.46</v>
      </c>
      <c r="C124" s="37">
        <v>142.83000000000001</v>
      </c>
      <c r="D124" s="37">
        <v>153.57</v>
      </c>
      <c r="E124" s="37">
        <v>139.62</v>
      </c>
      <c r="F124" s="37">
        <v>153.21</v>
      </c>
      <c r="G124" s="37">
        <v>133.31</v>
      </c>
      <c r="H124" s="37">
        <v>141.84</v>
      </c>
      <c r="I124" s="37">
        <v>132.79</v>
      </c>
      <c r="J124" s="37">
        <v>147.37</v>
      </c>
      <c r="K124" s="37">
        <v>141.61000000000001</v>
      </c>
    </row>
    <row r="125" spans="1:11" x14ac:dyDescent="0.25">
      <c r="A125" s="32">
        <v>41214</v>
      </c>
      <c r="B125" s="40">
        <v>144.61000000000001</v>
      </c>
      <c r="C125" s="37">
        <v>142.38</v>
      </c>
      <c r="D125" s="37">
        <v>153.21</v>
      </c>
      <c r="E125" s="37">
        <v>141.47999999999999</v>
      </c>
      <c r="F125" s="37">
        <v>152.69</v>
      </c>
      <c r="G125" s="37">
        <v>134.66</v>
      </c>
      <c r="H125" s="37">
        <v>140.94999999999999</v>
      </c>
      <c r="I125" s="37">
        <v>132.69</v>
      </c>
      <c r="J125" s="37">
        <v>146.69</v>
      </c>
      <c r="K125" s="37">
        <v>142.68</v>
      </c>
    </row>
    <row r="126" spans="1:11" x14ac:dyDescent="0.25">
      <c r="A126" s="32">
        <v>41244</v>
      </c>
      <c r="B126" s="40">
        <v>144.22999999999999</v>
      </c>
      <c r="C126" s="37">
        <v>140.83000000000001</v>
      </c>
      <c r="D126" s="37">
        <v>152.36000000000001</v>
      </c>
      <c r="E126" s="37">
        <v>139.72</v>
      </c>
      <c r="F126" s="37">
        <v>154.51</v>
      </c>
      <c r="G126" s="37">
        <v>134.44</v>
      </c>
      <c r="H126" s="37">
        <v>141.44999999999999</v>
      </c>
      <c r="I126" s="37">
        <v>134.26</v>
      </c>
      <c r="J126" s="37">
        <v>147.66999999999999</v>
      </c>
      <c r="K126" s="37">
        <v>143.51</v>
      </c>
    </row>
    <row r="127" spans="1:11" x14ac:dyDescent="0.25">
      <c r="A127" s="32">
        <v>41275</v>
      </c>
      <c r="B127" s="40">
        <v>144.96</v>
      </c>
      <c r="C127" s="37">
        <v>141.88999999999999</v>
      </c>
      <c r="D127" s="37">
        <v>157.15</v>
      </c>
      <c r="E127" s="37">
        <v>141.38</v>
      </c>
      <c r="F127" s="37">
        <v>153.59</v>
      </c>
      <c r="G127" s="37">
        <v>135.75</v>
      </c>
      <c r="H127" s="37">
        <v>142.79</v>
      </c>
      <c r="I127" s="37">
        <v>133.76</v>
      </c>
      <c r="J127" s="37">
        <v>148.44999999999999</v>
      </c>
      <c r="K127" s="37">
        <v>144.5</v>
      </c>
    </row>
    <row r="128" spans="1:11" x14ac:dyDescent="0.25">
      <c r="A128" s="32">
        <v>41306</v>
      </c>
      <c r="B128" s="40">
        <v>144.07</v>
      </c>
      <c r="C128" s="37">
        <v>141.91999999999999</v>
      </c>
      <c r="D128" s="37">
        <v>154.94999999999999</v>
      </c>
      <c r="E128" s="37">
        <v>140.35</v>
      </c>
      <c r="F128" s="37">
        <v>154.80000000000001</v>
      </c>
      <c r="G128" s="37">
        <v>140.35</v>
      </c>
      <c r="H128" s="37">
        <v>143.41</v>
      </c>
      <c r="I128" s="37">
        <v>133.52000000000001</v>
      </c>
      <c r="J128" s="37">
        <v>151.41</v>
      </c>
      <c r="K128" s="37">
        <v>144.82</v>
      </c>
    </row>
    <row r="129" spans="1:11" x14ac:dyDescent="0.25">
      <c r="A129" s="32">
        <v>41334</v>
      </c>
      <c r="B129" s="40">
        <v>144.97</v>
      </c>
      <c r="C129" s="37">
        <v>141.16999999999999</v>
      </c>
      <c r="D129" s="37">
        <v>155.38</v>
      </c>
      <c r="E129" s="37">
        <v>139.63</v>
      </c>
      <c r="F129" s="37">
        <v>154.88999999999999</v>
      </c>
      <c r="G129" s="37">
        <v>140.94</v>
      </c>
      <c r="H129" s="37">
        <v>143.62</v>
      </c>
      <c r="I129" s="37">
        <v>133.15</v>
      </c>
      <c r="J129" s="37">
        <v>152.47</v>
      </c>
      <c r="K129" s="37">
        <v>144.30000000000001</v>
      </c>
    </row>
    <row r="130" spans="1:11" x14ac:dyDescent="0.25">
      <c r="A130" s="32">
        <v>41365</v>
      </c>
      <c r="B130" s="40">
        <v>146.06</v>
      </c>
      <c r="C130" s="37">
        <v>143.18</v>
      </c>
      <c r="D130" s="37">
        <v>156.58000000000001</v>
      </c>
      <c r="E130" s="37">
        <v>141.83000000000001</v>
      </c>
      <c r="F130" s="37">
        <v>155.02000000000001</v>
      </c>
      <c r="G130" s="37">
        <v>143.41999999999999</v>
      </c>
      <c r="H130" s="37">
        <v>146.38</v>
      </c>
      <c r="I130" s="37">
        <v>133.96</v>
      </c>
      <c r="J130" s="37">
        <v>153.63</v>
      </c>
      <c r="K130" s="37">
        <v>144.30000000000001</v>
      </c>
    </row>
    <row r="131" spans="1:11" x14ac:dyDescent="0.25">
      <c r="A131" s="32">
        <v>41395</v>
      </c>
      <c r="B131" s="40">
        <v>147.25</v>
      </c>
      <c r="C131" s="37">
        <v>143.46</v>
      </c>
      <c r="D131" s="37">
        <v>156.44</v>
      </c>
      <c r="E131" s="37">
        <v>141.94999999999999</v>
      </c>
      <c r="F131" s="37">
        <v>154.47999999999999</v>
      </c>
      <c r="G131" s="37">
        <v>137.83000000000001</v>
      </c>
      <c r="H131" s="37">
        <v>145.08000000000001</v>
      </c>
      <c r="I131" s="37">
        <v>133.51</v>
      </c>
      <c r="J131" s="37">
        <v>151.78</v>
      </c>
      <c r="K131" s="37">
        <v>144.85</v>
      </c>
    </row>
    <row r="132" spans="1:11" x14ac:dyDescent="0.25">
      <c r="A132" s="32">
        <v>41426</v>
      </c>
      <c r="B132" s="40">
        <v>146.31</v>
      </c>
      <c r="C132" s="37">
        <v>145.49</v>
      </c>
      <c r="D132" s="37">
        <v>155.85</v>
      </c>
      <c r="E132" s="37">
        <v>141.86000000000001</v>
      </c>
      <c r="F132" s="37">
        <v>156.32</v>
      </c>
      <c r="G132" s="37">
        <v>138.78</v>
      </c>
      <c r="H132" s="37">
        <v>147.93</v>
      </c>
      <c r="I132" s="37">
        <v>133.75</v>
      </c>
      <c r="J132" s="37">
        <v>151.84</v>
      </c>
      <c r="K132" s="37">
        <v>145.4</v>
      </c>
    </row>
    <row r="133" spans="1:11" x14ac:dyDescent="0.25">
      <c r="A133" s="32">
        <v>41456</v>
      </c>
      <c r="B133" s="40">
        <v>146.94</v>
      </c>
      <c r="C133" s="37">
        <v>144.58000000000001</v>
      </c>
      <c r="D133" s="37">
        <v>156.37</v>
      </c>
      <c r="E133" s="37">
        <v>141.62</v>
      </c>
      <c r="F133" s="37">
        <v>154.94</v>
      </c>
      <c r="G133" s="37">
        <v>138.36000000000001</v>
      </c>
      <c r="H133" s="37">
        <v>148.55000000000001</v>
      </c>
      <c r="I133" s="37">
        <v>133.38</v>
      </c>
      <c r="J133" s="37">
        <v>152.68</v>
      </c>
      <c r="K133" s="37">
        <v>146.94999999999999</v>
      </c>
    </row>
    <row r="134" spans="1:11" x14ac:dyDescent="0.25">
      <c r="A134" s="32">
        <v>41487</v>
      </c>
      <c r="B134" s="40">
        <v>147.01</v>
      </c>
      <c r="C134" s="37">
        <v>143.43</v>
      </c>
      <c r="D134" s="37">
        <v>156.41</v>
      </c>
      <c r="E134" s="37">
        <v>141.51</v>
      </c>
      <c r="F134" s="37">
        <v>155.54</v>
      </c>
      <c r="G134" s="37">
        <v>138.55000000000001</v>
      </c>
      <c r="H134" s="37">
        <v>147.96</v>
      </c>
      <c r="I134" s="37">
        <v>133.27000000000001</v>
      </c>
      <c r="J134" s="37">
        <v>152.51</v>
      </c>
      <c r="K134" s="37">
        <v>149.37</v>
      </c>
    </row>
    <row r="135" spans="1:11" x14ac:dyDescent="0.25">
      <c r="A135" s="32">
        <v>41518</v>
      </c>
      <c r="B135" s="40">
        <v>148.22999999999999</v>
      </c>
      <c r="C135" s="37">
        <v>142.99</v>
      </c>
      <c r="D135" s="37">
        <v>154.56</v>
      </c>
      <c r="E135" s="37">
        <v>142.91</v>
      </c>
      <c r="F135" s="37">
        <v>156.27000000000001</v>
      </c>
      <c r="G135" s="37">
        <v>139.94999999999999</v>
      </c>
      <c r="H135" s="37">
        <v>148.83000000000001</v>
      </c>
      <c r="I135" s="37">
        <v>134.75</v>
      </c>
      <c r="J135" s="37">
        <v>152.66</v>
      </c>
      <c r="K135" s="37">
        <v>147.74</v>
      </c>
    </row>
    <row r="136" spans="1:11" x14ac:dyDescent="0.25">
      <c r="A136" s="32">
        <v>41548</v>
      </c>
      <c r="B136" s="40">
        <v>147.6</v>
      </c>
      <c r="C136" s="37">
        <v>143.29</v>
      </c>
      <c r="D136" s="37">
        <v>155.83000000000001</v>
      </c>
      <c r="E136" s="37">
        <v>144.26</v>
      </c>
      <c r="F136" s="37">
        <v>154.72999999999999</v>
      </c>
      <c r="G136" s="37">
        <v>140.47999999999999</v>
      </c>
      <c r="H136" s="37">
        <v>149.38</v>
      </c>
      <c r="I136" s="37">
        <v>134.47</v>
      </c>
      <c r="J136" s="37">
        <v>152.65</v>
      </c>
      <c r="K136" s="37">
        <v>145.30000000000001</v>
      </c>
    </row>
    <row r="137" spans="1:11" x14ac:dyDescent="0.25">
      <c r="A137" s="32">
        <v>41579</v>
      </c>
      <c r="B137" s="40">
        <v>148.32</v>
      </c>
      <c r="C137" s="37">
        <v>144.03</v>
      </c>
      <c r="D137" s="37">
        <v>154.80000000000001</v>
      </c>
      <c r="E137" s="37">
        <v>143.94999999999999</v>
      </c>
      <c r="F137" s="37">
        <v>156.21</v>
      </c>
      <c r="G137" s="37">
        <v>140.87</v>
      </c>
      <c r="H137" s="37">
        <v>148.16999999999999</v>
      </c>
      <c r="I137" s="37">
        <v>134.54</v>
      </c>
      <c r="J137" s="37">
        <v>153.58000000000001</v>
      </c>
      <c r="K137" s="37">
        <v>146.93</v>
      </c>
    </row>
    <row r="138" spans="1:11" x14ac:dyDescent="0.25">
      <c r="A138" s="32">
        <v>41609</v>
      </c>
      <c r="B138" s="40">
        <v>148.75</v>
      </c>
      <c r="C138" s="37">
        <v>140.66999999999999</v>
      </c>
      <c r="D138" s="37">
        <v>157.51</v>
      </c>
      <c r="E138" s="37">
        <v>142.41999999999999</v>
      </c>
      <c r="F138" s="37">
        <v>154.78</v>
      </c>
      <c r="G138" s="37">
        <v>139.58000000000001</v>
      </c>
      <c r="H138" s="37">
        <v>146.96</v>
      </c>
      <c r="I138" s="37">
        <v>134.08000000000001</v>
      </c>
      <c r="J138" s="37">
        <v>152.75</v>
      </c>
      <c r="K138" s="37">
        <v>145.88999999999999</v>
      </c>
    </row>
    <row r="139" spans="1:11" x14ac:dyDescent="0.25">
      <c r="A139" s="32">
        <v>41640</v>
      </c>
      <c r="B139" s="40">
        <v>148.43</v>
      </c>
      <c r="C139" s="37">
        <v>145.97</v>
      </c>
      <c r="D139" s="37">
        <v>161.33000000000001</v>
      </c>
      <c r="E139" s="37">
        <v>143.06</v>
      </c>
      <c r="F139" s="37">
        <v>155.21</v>
      </c>
      <c r="G139" s="37">
        <v>141.97</v>
      </c>
      <c r="H139" s="37">
        <v>148.30000000000001</v>
      </c>
      <c r="I139" s="37">
        <v>135.44999999999999</v>
      </c>
      <c r="J139" s="37">
        <v>154.88</v>
      </c>
      <c r="K139" s="37">
        <v>149.22</v>
      </c>
    </row>
    <row r="140" spans="1:11" x14ac:dyDescent="0.25">
      <c r="A140" s="32">
        <v>41671</v>
      </c>
      <c r="B140" s="40">
        <v>147.96</v>
      </c>
      <c r="C140" s="37">
        <v>145.28</v>
      </c>
      <c r="D140" s="37">
        <v>158.51</v>
      </c>
      <c r="E140" s="37">
        <v>144.05000000000001</v>
      </c>
      <c r="F140" s="37">
        <v>155.52000000000001</v>
      </c>
      <c r="G140" s="37">
        <v>142.56</v>
      </c>
      <c r="H140" s="37">
        <v>149.22</v>
      </c>
      <c r="I140" s="37">
        <v>135.88</v>
      </c>
      <c r="J140" s="37">
        <v>153.80000000000001</v>
      </c>
      <c r="K140" s="37">
        <v>149.99</v>
      </c>
    </row>
    <row r="141" spans="1:11" x14ac:dyDescent="0.25">
      <c r="A141" s="32">
        <v>41699</v>
      </c>
      <c r="B141" s="40">
        <v>148.05000000000001</v>
      </c>
      <c r="C141" s="37">
        <v>144.55000000000001</v>
      </c>
      <c r="D141" s="37">
        <v>158.84</v>
      </c>
      <c r="E141" s="37">
        <v>143.41999999999999</v>
      </c>
      <c r="F141" s="37">
        <v>154.77000000000001</v>
      </c>
      <c r="G141" s="37">
        <v>135.08000000000001</v>
      </c>
      <c r="H141" s="37">
        <v>149.21</v>
      </c>
      <c r="I141" s="37">
        <v>137.41999999999999</v>
      </c>
      <c r="J141" s="37">
        <v>152.41</v>
      </c>
      <c r="K141" s="37">
        <v>148.93</v>
      </c>
    </row>
    <row r="142" spans="1:11" x14ac:dyDescent="0.25">
      <c r="A142" s="32">
        <v>41730</v>
      </c>
      <c r="B142" s="40">
        <v>147</v>
      </c>
      <c r="C142" s="37">
        <v>143.88999999999999</v>
      </c>
      <c r="D142" s="37">
        <v>158.47999999999999</v>
      </c>
      <c r="E142" s="37">
        <v>144.55000000000001</v>
      </c>
      <c r="F142" s="37">
        <v>155.38</v>
      </c>
      <c r="G142" s="37">
        <v>130.87</v>
      </c>
      <c r="H142" s="37">
        <v>148.69</v>
      </c>
      <c r="I142" s="37">
        <v>135.07</v>
      </c>
      <c r="J142" s="37">
        <v>150.47</v>
      </c>
      <c r="K142" s="37">
        <v>150.52000000000001</v>
      </c>
    </row>
    <row r="143" spans="1:11" x14ac:dyDescent="0.25">
      <c r="A143" s="32">
        <v>41760</v>
      </c>
      <c r="B143" s="40">
        <v>146.47999999999999</v>
      </c>
      <c r="C143" s="37">
        <v>142.16</v>
      </c>
      <c r="D143" s="37">
        <v>159.37</v>
      </c>
      <c r="E143" s="37">
        <v>146.03</v>
      </c>
      <c r="F143" s="37">
        <v>155.77000000000001</v>
      </c>
      <c r="G143" s="37">
        <v>138.53</v>
      </c>
      <c r="H143" s="37">
        <v>150.16999999999999</v>
      </c>
      <c r="I143" s="37">
        <v>134.44</v>
      </c>
      <c r="J143" s="37">
        <v>151.72</v>
      </c>
      <c r="K143" s="37">
        <v>150.03</v>
      </c>
    </row>
    <row r="144" spans="1:11" x14ac:dyDescent="0.25">
      <c r="A144" s="32">
        <v>41791</v>
      </c>
      <c r="B144" s="40">
        <v>143.85</v>
      </c>
      <c r="C144" s="37">
        <v>140.46</v>
      </c>
      <c r="D144" s="37">
        <v>155.4</v>
      </c>
      <c r="E144" s="37">
        <v>142.88</v>
      </c>
      <c r="F144" s="37">
        <v>154.29</v>
      </c>
      <c r="G144" s="37">
        <v>139.51</v>
      </c>
      <c r="H144" s="37">
        <v>145.71</v>
      </c>
      <c r="I144" s="37">
        <v>135.27000000000001</v>
      </c>
      <c r="J144" s="37">
        <v>148.32</v>
      </c>
      <c r="K144" s="37">
        <v>149.51</v>
      </c>
    </row>
    <row r="145" spans="1:11" x14ac:dyDescent="0.25">
      <c r="A145" s="32">
        <v>41821</v>
      </c>
      <c r="B145" s="40">
        <v>144.63999999999999</v>
      </c>
      <c r="C145" s="37">
        <v>138.53</v>
      </c>
      <c r="D145" s="37">
        <v>156.58000000000001</v>
      </c>
      <c r="E145" s="37">
        <v>146.71</v>
      </c>
      <c r="F145" s="37">
        <v>153.80000000000001</v>
      </c>
      <c r="G145" s="37">
        <v>139.82</v>
      </c>
      <c r="H145" s="37">
        <v>149.6</v>
      </c>
      <c r="I145" s="37">
        <v>135.77000000000001</v>
      </c>
      <c r="J145" s="37">
        <v>150.13999999999999</v>
      </c>
      <c r="K145" s="37">
        <v>150.86000000000001</v>
      </c>
    </row>
    <row r="146" spans="1:11" x14ac:dyDescent="0.25">
      <c r="A146" s="32">
        <v>41852</v>
      </c>
      <c r="B146" s="40">
        <v>145.63</v>
      </c>
      <c r="C146" s="37">
        <v>143.18</v>
      </c>
      <c r="D146" s="37">
        <v>157.79</v>
      </c>
      <c r="E146" s="37">
        <v>148.69</v>
      </c>
      <c r="F146" s="37">
        <v>154</v>
      </c>
      <c r="G146" s="37">
        <v>142.66</v>
      </c>
      <c r="H146" s="37">
        <v>149.81</v>
      </c>
      <c r="I146" s="37">
        <v>135.86000000000001</v>
      </c>
      <c r="J146" s="37">
        <v>152.91999999999999</v>
      </c>
      <c r="K146" s="37">
        <v>150.88</v>
      </c>
    </row>
    <row r="147" spans="1:11" x14ac:dyDescent="0.25">
      <c r="A147" s="32">
        <v>41883</v>
      </c>
      <c r="B147" s="40">
        <v>145.91999999999999</v>
      </c>
      <c r="C147" s="37">
        <v>143.32</v>
      </c>
      <c r="D147" s="37">
        <v>158.75</v>
      </c>
      <c r="E147" s="37">
        <v>148.76</v>
      </c>
      <c r="F147" s="37">
        <v>154.15</v>
      </c>
      <c r="G147" s="37">
        <v>144.72</v>
      </c>
      <c r="H147" s="37">
        <v>152.33000000000001</v>
      </c>
      <c r="I147" s="37">
        <v>136.09</v>
      </c>
      <c r="J147" s="37">
        <v>154.12</v>
      </c>
      <c r="K147" s="37">
        <v>150.28</v>
      </c>
    </row>
    <row r="148" spans="1:11" x14ac:dyDescent="0.25">
      <c r="A148" s="32">
        <v>41913</v>
      </c>
      <c r="B148" s="40">
        <v>144.71</v>
      </c>
      <c r="C148" s="37">
        <v>143.05000000000001</v>
      </c>
      <c r="D148" s="37">
        <v>157.78</v>
      </c>
      <c r="E148" s="37">
        <v>146.04</v>
      </c>
      <c r="F148" s="37">
        <v>154.38999999999999</v>
      </c>
      <c r="G148" s="37">
        <v>143.62</v>
      </c>
      <c r="H148" s="37">
        <v>152.26</v>
      </c>
      <c r="I148" s="37">
        <v>136.36000000000001</v>
      </c>
      <c r="J148" s="37">
        <v>155.35</v>
      </c>
      <c r="K148" s="37">
        <v>149.83000000000001</v>
      </c>
    </row>
    <row r="149" spans="1:11" x14ac:dyDescent="0.25">
      <c r="A149" s="32">
        <v>41944</v>
      </c>
      <c r="B149" s="40">
        <v>145.49</v>
      </c>
      <c r="C149" s="37">
        <v>142.55000000000001</v>
      </c>
      <c r="D149" s="37">
        <v>157.59</v>
      </c>
      <c r="E149" s="37">
        <v>145.65</v>
      </c>
      <c r="F149" s="37">
        <v>153.71</v>
      </c>
      <c r="G149" s="37">
        <v>142.22999999999999</v>
      </c>
      <c r="H149" s="37">
        <v>150.19999999999999</v>
      </c>
      <c r="I149" s="37">
        <v>136.29</v>
      </c>
      <c r="J149" s="37">
        <v>155.03</v>
      </c>
      <c r="K149" s="37">
        <v>150.38999999999999</v>
      </c>
    </row>
    <row r="150" spans="1:11" x14ac:dyDescent="0.25">
      <c r="A150" s="32">
        <v>41974</v>
      </c>
      <c r="B150" s="41">
        <v>146.47</v>
      </c>
      <c r="C150" s="38">
        <v>140.18</v>
      </c>
      <c r="D150" s="38">
        <v>156.63</v>
      </c>
      <c r="E150" s="38">
        <v>145.62</v>
      </c>
      <c r="F150" s="38">
        <v>152.88999999999999</v>
      </c>
      <c r="G150" s="38">
        <v>140.18</v>
      </c>
      <c r="H150" s="38">
        <v>147.72999999999999</v>
      </c>
      <c r="I150" s="38">
        <v>136.56</v>
      </c>
      <c r="J150" s="38">
        <v>155.63</v>
      </c>
      <c r="K150" s="38">
        <v>149.35</v>
      </c>
    </row>
    <row r="151" spans="1:11" x14ac:dyDescent="0.25">
      <c r="A151" s="32">
        <v>42005</v>
      </c>
      <c r="B151" s="41">
        <v>145.22999999999999</v>
      </c>
      <c r="C151" s="38">
        <v>142.41</v>
      </c>
      <c r="D151" s="38">
        <v>162.13</v>
      </c>
      <c r="E151" s="38">
        <v>144.85</v>
      </c>
      <c r="F151" s="38">
        <v>153.74</v>
      </c>
      <c r="G151" s="38">
        <v>137.41</v>
      </c>
      <c r="H151" s="38">
        <v>148.97999999999999</v>
      </c>
      <c r="I151" s="38">
        <v>137.91999999999999</v>
      </c>
      <c r="J151" s="38">
        <v>152.61000000000001</v>
      </c>
      <c r="K151" s="38">
        <v>148.83000000000001</v>
      </c>
    </row>
    <row r="152" spans="1:11" x14ac:dyDescent="0.25">
      <c r="A152" s="32">
        <v>42036</v>
      </c>
      <c r="B152" s="41">
        <v>144.68</v>
      </c>
      <c r="C152" s="38">
        <v>142.4</v>
      </c>
      <c r="D152" s="38">
        <v>160.21</v>
      </c>
      <c r="E152" s="38">
        <v>144.04</v>
      </c>
      <c r="F152" s="38">
        <v>155.51</v>
      </c>
      <c r="G152" s="38">
        <v>139.56</v>
      </c>
      <c r="H152" s="38">
        <v>148.47</v>
      </c>
      <c r="I152" s="38">
        <v>136.97999999999999</v>
      </c>
      <c r="J152" s="38">
        <v>154.19999999999999</v>
      </c>
      <c r="K152" s="38">
        <v>147.37</v>
      </c>
    </row>
    <row r="153" spans="1:11" x14ac:dyDescent="0.25">
      <c r="A153" s="32">
        <v>42064</v>
      </c>
      <c r="B153" s="41">
        <v>144.24</v>
      </c>
      <c r="C153" s="38">
        <v>139.72</v>
      </c>
      <c r="D153" s="38">
        <v>158.43</v>
      </c>
      <c r="E153" s="38">
        <v>142.88</v>
      </c>
      <c r="F153" s="38">
        <v>152.35</v>
      </c>
      <c r="G153" s="38">
        <v>142.09</v>
      </c>
      <c r="H153" s="38">
        <v>147.91999999999999</v>
      </c>
      <c r="I153" s="38">
        <v>136.82</v>
      </c>
      <c r="J153" s="38">
        <v>157.76</v>
      </c>
      <c r="K153" s="38">
        <v>149.33000000000001</v>
      </c>
    </row>
    <row r="154" spans="1:11" x14ac:dyDescent="0.25">
      <c r="A154" s="32">
        <v>42095</v>
      </c>
      <c r="B154" s="41">
        <v>142.66</v>
      </c>
      <c r="C154" s="38">
        <v>138.66999999999999</v>
      </c>
      <c r="D154" s="38">
        <v>154.57</v>
      </c>
      <c r="E154" s="38">
        <v>141.65</v>
      </c>
      <c r="F154" s="38">
        <v>151.35</v>
      </c>
      <c r="G154" s="38">
        <v>147.87</v>
      </c>
      <c r="H154" s="38">
        <v>147.81</v>
      </c>
      <c r="I154" s="38">
        <v>135.91</v>
      </c>
      <c r="J154" s="38">
        <v>153.15</v>
      </c>
      <c r="K154" s="38">
        <v>148.69</v>
      </c>
    </row>
    <row r="155" spans="1:11" x14ac:dyDescent="0.25">
      <c r="A155" s="32">
        <v>42125</v>
      </c>
      <c r="B155" s="41">
        <v>141.21</v>
      </c>
      <c r="C155" s="38">
        <v>138.54</v>
      </c>
      <c r="D155" s="38">
        <v>153.44</v>
      </c>
      <c r="E155" s="38">
        <v>140.68</v>
      </c>
      <c r="F155" s="38">
        <v>151.21</v>
      </c>
      <c r="G155" s="38">
        <v>133.03</v>
      </c>
      <c r="H155" s="38">
        <v>146.55000000000001</v>
      </c>
      <c r="I155" s="38">
        <v>134.81</v>
      </c>
      <c r="J155" s="38">
        <v>150.82</v>
      </c>
      <c r="K155" s="38">
        <v>147.66</v>
      </c>
    </row>
    <row r="156" spans="1:11" x14ac:dyDescent="0.25">
      <c r="A156" s="32">
        <v>42156</v>
      </c>
      <c r="B156" s="41">
        <v>139.96</v>
      </c>
      <c r="C156" s="38">
        <v>137.05000000000001</v>
      </c>
      <c r="D156" s="38">
        <v>153.06</v>
      </c>
      <c r="E156" s="38">
        <v>140.05000000000001</v>
      </c>
      <c r="F156" s="38">
        <v>150.44</v>
      </c>
      <c r="G156" s="38">
        <v>129.88999999999999</v>
      </c>
      <c r="H156" s="38">
        <v>145.06</v>
      </c>
      <c r="I156" s="38">
        <v>134.57</v>
      </c>
      <c r="J156" s="38">
        <v>149.94999999999999</v>
      </c>
      <c r="K156" s="38">
        <v>148.28</v>
      </c>
    </row>
    <row r="157" spans="1:11" x14ac:dyDescent="0.25">
      <c r="A157" s="32">
        <v>42186</v>
      </c>
      <c r="B157" s="41">
        <v>138.93</v>
      </c>
      <c r="C157" s="38">
        <v>136.02000000000001</v>
      </c>
      <c r="D157" s="38">
        <v>152.22</v>
      </c>
      <c r="E157" s="38">
        <v>139.16999999999999</v>
      </c>
      <c r="F157" s="38">
        <v>149.71</v>
      </c>
      <c r="G157" s="38">
        <v>132.13999999999999</v>
      </c>
      <c r="H157" s="38">
        <v>143.88</v>
      </c>
      <c r="I157" s="38">
        <v>133.9</v>
      </c>
      <c r="J157" s="38">
        <v>146.4</v>
      </c>
      <c r="K157" s="38">
        <v>147.97999999999999</v>
      </c>
    </row>
    <row r="158" spans="1:11" x14ac:dyDescent="0.25">
      <c r="A158" s="32">
        <v>42217</v>
      </c>
      <c r="B158" s="41">
        <v>138.79</v>
      </c>
      <c r="C158" s="38">
        <v>137.05000000000001</v>
      </c>
      <c r="D158" s="38">
        <v>151.03</v>
      </c>
      <c r="E158" s="38">
        <v>138.61000000000001</v>
      </c>
      <c r="F158" s="38">
        <v>149.06</v>
      </c>
      <c r="G158" s="38">
        <v>131.27000000000001</v>
      </c>
      <c r="H158" s="38">
        <v>144.85</v>
      </c>
      <c r="I158" s="38">
        <v>134.1</v>
      </c>
      <c r="J158" s="38">
        <v>148.34</v>
      </c>
      <c r="K158" s="38">
        <v>146.85</v>
      </c>
    </row>
    <row r="159" spans="1:11" x14ac:dyDescent="0.25">
      <c r="A159" s="32">
        <v>42248</v>
      </c>
      <c r="B159" s="41">
        <v>137.66</v>
      </c>
      <c r="C159" s="38">
        <v>135.76</v>
      </c>
      <c r="D159" s="38">
        <v>149.69999999999999</v>
      </c>
      <c r="E159" s="38">
        <v>137.71</v>
      </c>
      <c r="F159" s="38">
        <v>149</v>
      </c>
      <c r="G159" s="38">
        <v>129.26</v>
      </c>
      <c r="H159" s="38">
        <v>143.78</v>
      </c>
      <c r="I159" s="38">
        <v>132.28</v>
      </c>
      <c r="J159" s="38">
        <v>148.76</v>
      </c>
      <c r="K159" s="38">
        <v>145.80000000000001</v>
      </c>
    </row>
    <row r="160" spans="1:11" x14ac:dyDescent="0.25">
      <c r="A160" s="32">
        <v>42278</v>
      </c>
      <c r="B160" s="41">
        <v>137.51</v>
      </c>
      <c r="C160" s="38">
        <v>135.33000000000001</v>
      </c>
      <c r="D160" s="38">
        <v>149.07</v>
      </c>
      <c r="E160" s="38">
        <v>136.87</v>
      </c>
      <c r="F160" s="38">
        <v>148.69</v>
      </c>
      <c r="G160" s="38">
        <v>129.36000000000001</v>
      </c>
      <c r="H160" s="38">
        <v>142.43</v>
      </c>
      <c r="I160" s="38">
        <v>132.12</v>
      </c>
      <c r="J160" s="38">
        <v>146.19</v>
      </c>
      <c r="K160" s="38">
        <v>145.24</v>
      </c>
    </row>
    <row r="161" spans="1:11" x14ac:dyDescent="0.25">
      <c r="A161" s="32">
        <v>42309</v>
      </c>
      <c r="B161" s="41">
        <v>136.4</v>
      </c>
      <c r="C161" s="38">
        <v>134.05000000000001</v>
      </c>
      <c r="D161" s="38">
        <v>149.57</v>
      </c>
      <c r="E161" s="38">
        <v>135.77000000000001</v>
      </c>
      <c r="F161" s="38">
        <v>147.63999999999999</v>
      </c>
      <c r="G161" s="38">
        <v>129.84</v>
      </c>
      <c r="H161" s="38">
        <v>143.69</v>
      </c>
      <c r="I161" s="38">
        <v>131.84</v>
      </c>
      <c r="J161" s="38">
        <v>145.88999999999999</v>
      </c>
      <c r="K161" s="38">
        <v>143.69999999999999</v>
      </c>
    </row>
    <row r="162" spans="1:11" x14ac:dyDescent="0.25">
      <c r="A162" s="32">
        <v>42339</v>
      </c>
      <c r="B162" s="41">
        <v>136.26</v>
      </c>
      <c r="C162" s="38">
        <v>133.22999999999999</v>
      </c>
      <c r="D162" s="38">
        <v>144.82</v>
      </c>
      <c r="E162" s="38">
        <v>135.03</v>
      </c>
      <c r="F162" s="38">
        <v>147.72999999999999</v>
      </c>
      <c r="G162" s="38">
        <v>131.61000000000001</v>
      </c>
      <c r="H162" s="38">
        <v>141.78</v>
      </c>
      <c r="I162" s="38">
        <v>131.46</v>
      </c>
      <c r="J162" s="38">
        <v>145.55000000000001</v>
      </c>
      <c r="K162" s="38">
        <v>143.15</v>
      </c>
    </row>
    <row r="163" spans="1:11" x14ac:dyDescent="0.25">
      <c r="A163" s="32">
        <v>42370</v>
      </c>
      <c r="B163" s="41">
        <v>135.32</v>
      </c>
      <c r="C163" s="38">
        <v>131.97</v>
      </c>
      <c r="D163" s="38">
        <v>143.1</v>
      </c>
      <c r="E163" s="38">
        <v>134.82</v>
      </c>
      <c r="F163" s="38">
        <v>147.33000000000001</v>
      </c>
      <c r="G163" s="38">
        <v>131.81</v>
      </c>
      <c r="H163" s="38">
        <v>142</v>
      </c>
      <c r="I163" s="38">
        <v>129.9</v>
      </c>
      <c r="J163" s="38">
        <v>146.66999999999999</v>
      </c>
      <c r="K163" s="38">
        <v>142.88999999999999</v>
      </c>
    </row>
    <row r="164" spans="1:11" x14ac:dyDescent="0.25">
      <c r="A164" s="32">
        <v>42401</v>
      </c>
      <c r="B164" s="41">
        <v>134.93</v>
      </c>
      <c r="C164" s="38">
        <v>131.47</v>
      </c>
      <c r="D164" s="38">
        <v>142.04</v>
      </c>
      <c r="E164" s="38">
        <v>134.19999999999999</v>
      </c>
      <c r="F164" s="38">
        <v>144.44999999999999</v>
      </c>
      <c r="G164" s="38">
        <v>130.1</v>
      </c>
      <c r="H164" s="38">
        <v>139.34</v>
      </c>
      <c r="I164" s="38">
        <v>127.7</v>
      </c>
      <c r="J164" s="38">
        <v>146.5</v>
      </c>
      <c r="K164" s="38">
        <v>142.37</v>
      </c>
    </row>
    <row r="165" spans="1:11" x14ac:dyDescent="0.25">
      <c r="A165" s="32">
        <v>42430</v>
      </c>
      <c r="B165" s="41">
        <v>134.35</v>
      </c>
      <c r="C165" s="38">
        <v>133.58000000000001</v>
      </c>
      <c r="D165" s="38">
        <v>142.22</v>
      </c>
      <c r="E165" s="38">
        <v>134.93</v>
      </c>
      <c r="F165" s="38">
        <v>147.18</v>
      </c>
      <c r="G165" s="38">
        <v>136.38</v>
      </c>
      <c r="H165" s="38">
        <v>142.11000000000001</v>
      </c>
      <c r="I165" s="38">
        <v>128.91999999999999</v>
      </c>
      <c r="J165" s="38">
        <v>148.57</v>
      </c>
      <c r="K165" s="38">
        <v>142.41999999999999</v>
      </c>
    </row>
    <row r="166" spans="1:11" x14ac:dyDescent="0.25">
      <c r="A166" s="32">
        <v>42461</v>
      </c>
      <c r="B166" s="41">
        <v>134.61000000000001</v>
      </c>
      <c r="C166" s="38">
        <v>134.1</v>
      </c>
      <c r="D166" s="38">
        <v>144.19</v>
      </c>
      <c r="E166" s="38">
        <v>134.22999999999999</v>
      </c>
      <c r="F166" s="38">
        <v>148.49</v>
      </c>
      <c r="G166" s="38">
        <v>134.59</v>
      </c>
      <c r="H166" s="38">
        <v>141.84</v>
      </c>
      <c r="I166" s="38">
        <v>128.96</v>
      </c>
      <c r="J166" s="38">
        <v>147.97999999999999</v>
      </c>
      <c r="K166" s="38">
        <v>141.35</v>
      </c>
    </row>
    <row r="167" spans="1:11" x14ac:dyDescent="0.25">
      <c r="A167" s="32">
        <v>42491</v>
      </c>
      <c r="B167" s="41">
        <v>133.97</v>
      </c>
      <c r="C167" s="38">
        <v>133.85</v>
      </c>
      <c r="D167" s="38">
        <v>143.84</v>
      </c>
      <c r="E167" s="38">
        <v>133.62</v>
      </c>
      <c r="F167" s="38">
        <v>147.25</v>
      </c>
      <c r="G167" s="38">
        <v>131.62</v>
      </c>
      <c r="H167" s="38">
        <v>141.32</v>
      </c>
      <c r="I167" s="38">
        <v>130.38</v>
      </c>
      <c r="J167" s="38">
        <v>146.81</v>
      </c>
      <c r="K167" s="38">
        <v>141.37</v>
      </c>
    </row>
    <row r="168" spans="1:11" x14ac:dyDescent="0.25">
      <c r="A168" s="32">
        <v>42522</v>
      </c>
      <c r="B168" s="41">
        <v>134.32</v>
      </c>
      <c r="C168" s="38">
        <v>135.16</v>
      </c>
      <c r="D168" s="38">
        <v>144.65</v>
      </c>
      <c r="E168" s="38">
        <v>134.37</v>
      </c>
      <c r="F168" s="38">
        <v>148.41999999999999</v>
      </c>
      <c r="G168" s="38">
        <v>132.56</v>
      </c>
      <c r="H168" s="38">
        <v>143.06</v>
      </c>
      <c r="I168" s="38">
        <v>131.56</v>
      </c>
      <c r="J168" s="38">
        <v>148.1</v>
      </c>
      <c r="K168" s="38">
        <v>139.15</v>
      </c>
    </row>
    <row r="169" spans="1:11" x14ac:dyDescent="0.25">
      <c r="A169" s="32">
        <v>42552</v>
      </c>
      <c r="B169" s="41">
        <v>134.08000000000001</v>
      </c>
      <c r="C169" s="38">
        <v>135.13</v>
      </c>
      <c r="D169" s="38">
        <v>146.57</v>
      </c>
      <c r="E169" s="38">
        <v>135.36000000000001</v>
      </c>
      <c r="F169" s="38">
        <v>149.28</v>
      </c>
      <c r="G169" s="38">
        <v>130.47</v>
      </c>
      <c r="H169" s="38">
        <v>142.24</v>
      </c>
      <c r="I169" s="38">
        <v>130.88999999999999</v>
      </c>
      <c r="J169" s="38">
        <v>148.47999999999999</v>
      </c>
      <c r="K169" s="38">
        <v>134.46</v>
      </c>
    </row>
    <row r="170" spans="1:11" x14ac:dyDescent="0.25">
      <c r="A170" s="32">
        <v>42583</v>
      </c>
      <c r="B170" s="41">
        <v>132.72999999999999</v>
      </c>
      <c r="C170" s="41">
        <v>132.57</v>
      </c>
      <c r="D170" s="41">
        <v>145.05000000000001</v>
      </c>
      <c r="E170" s="38">
        <v>133.86000000000001</v>
      </c>
      <c r="F170" s="38">
        <v>146.5</v>
      </c>
      <c r="G170" s="38">
        <v>130.37</v>
      </c>
      <c r="H170" s="38">
        <v>141.47999999999999</v>
      </c>
      <c r="I170" s="38">
        <v>129.6</v>
      </c>
      <c r="J170" s="38">
        <v>144.66999999999999</v>
      </c>
      <c r="K170" s="38">
        <v>137.56</v>
      </c>
    </row>
    <row r="171" spans="1:11" x14ac:dyDescent="0.25">
      <c r="A171" s="32">
        <v>42614</v>
      </c>
      <c r="B171" s="41">
        <v>132.93</v>
      </c>
      <c r="C171" s="41">
        <v>132.85</v>
      </c>
      <c r="D171" s="41">
        <v>145.47999999999999</v>
      </c>
      <c r="E171" s="38">
        <v>133.56</v>
      </c>
      <c r="F171" s="38">
        <v>147.9</v>
      </c>
      <c r="G171" s="38">
        <v>131.28</v>
      </c>
      <c r="H171" s="38">
        <v>141.53</v>
      </c>
      <c r="I171" s="38">
        <v>129.63</v>
      </c>
      <c r="J171" s="38">
        <v>144.65</v>
      </c>
      <c r="K171" s="38">
        <v>138.84</v>
      </c>
    </row>
    <row r="172" spans="1:11" x14ac:dyDescent="0.25">
      <c r="B172" s="41"/>
    </row>
    <row r="173" spans="1:11" x14ac:dyDescent="0.25">
      <c r="B173" s="41"/>
    </row>
  </sheetData>
  <hyperlinks>
    <hyperlink ref="B2" r:id="rId1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N170"/>
  <sheetViews>
    <sheetView showGridLines="0" workbookViewId="0">
      <pane xSplit="1" ySplit="5" topLeftCell="B6" activePane="bottomRight" state="frozen"/>
      <selection activeCell="D144" sqref="D144"/>
      <selection pane="topRight" activeCell="D144" sqref="D144"/>
      <selection pane="bottomLeft" activeCell="D144" sqref="D144"/>
      <selection pane="bottomRight" activeCell="A168" sqref="A168:K170"/>
    </sheetView>
  </sheetViews>
  <sheetFormatPr defaultRowHeight="15" x14ac:dyDescent="0.25"/>
  <cols>
    <col min="1" max="1" width="19.140625" style="12" customWidth="1"/>
    <col min="2" max="3" width="9.140625" style="11"/>
    <col min="4" max="4" width="9.5703125" style="11" bestFit="1" customWidth="1"/>
    <col min="5" max="11" width="9.140625" style="11"/>
    <col min="12" max="16384" width="9.140625" style="12"/>
  </cols>
  <sheetData>
    <row r="1" spans="1:14" s="4" customFormat="1" ht="18.75" x14ac:dyDescent="0.3">
      <c r="A1" s="2" t="s">
        <v>19</v>
      </c>
      <c r="B1" s="3"/>
      <c r="C1" s="3"/>
      <c r="D1" s="3"/>
      <c r="E1" s="3"/>
      <c r="F1" s="3"/>
      <c r="G1" s="3"/>
      <c r="H1" s="13" t="s">
        <v>18</v>
      </c>
      <c r="I1" s="3"/>
      <c r="J1" s="3"/>
    </row>
    <row r="2" spans="1:14" s="6" customFormat="1" x14ac:dyDescent="0.25">
      <c r="A2" s="5" t="s">
        <v>0</v>
      </c>
      <c r="B2" s="1"/>
      <c r="C2" s="1"/>
      <c r="D2" s="1"/>
      <c r="E2" s="1"/>
      <c r="F2" s="1"/>
      <c r="G2" s="1"/>
      <c r="H2" s="1"/>
      <c r="I2" s="1"/>
      <c r="J2" s="1"/>
    </row>
    <row r="3" spans="1:14" s="6" customFormat="1" ht="22.5" customHeight="1" x14ac:dyDescent="0.25">
      <c r="A3" s="7" t="s">
        <v>1</v>
      </c>
      <c r="B3" s="1"/>
      <c r="C3" s="1"/>
      <c r="D3" s="1"/>
      <c r="E3" s="8"/>
      <c r="F3" s="8"/>
      <c r="G3" s="1"/>
      <c r="H3" s="1"/>
      <c r="I3" s="1"/>
      <c r="N3" s="1"/>
    </row>
    <row r="4" spans="1:14" s="6" customFormat="1" x14ac:dyDescent="0.25">
      <c r="A4" s="5" t="str">
        <f>Resumo!A4</f>
        <v>Atualizado em 29 de Novembro de 2016</v>
      </c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4" s="10" customFormat="1" ht="39" customHeight="1" x14ac:dyDescent="0.25">
      <c r="A5" s="9"/>
      <c r="B5" s="14" t="s">
        <v>14</v>
      </c>
      <c r="C5" s="14" t="s">
        <v>11</v>
      </c>
      <c r="D5" s="14" t="s">
        <v>9</v>
      </c>
      <c r="E5" s="14" t="s">
        <v>10</v>
      </c>
      <c r="F5" s="14" t="s">
        <v>8</v>
      </c>
      <c r="G5" s="14" t="s">
        <v>3</v>
      </c>
      <c r="H5" s="14" t="s">
        <v>5</v>
      </c>
      <c r="I5" s="14" t="s">
        <v>4</v>
      </c>
      <c r="J5" s="14" t="s">
        <v>7</v>
      </c>
      <c r="K5" s="14" t="s">
        <v>6</v>
      </c>
    </row>
    <row r="6" spans="1:14" x14ac:dyDescent="0.25">
      <c r="A6" s="32">
        <v>37622</v>
      </c>
      <c r="B6" s="33" t="s">
        <v>13</v>
      </c>
      <c r="C6" s="33" t="s">
        <v>13</v>
      </c>
      <c r="D6" s="33" t="s">
        <v>13</v>
      </c>
      <c r="E6" s="33" t="s">
        <v>13</v>
      </c>
      <c r="F6" s="33" t="s">
        <v>13</v>
      </c>
      <c r="G6" s="33" t="s">
        <v>13</v>
      </c>
      <c r="H6" s="33" t="s">
        <v>13</v>
      </c>
      <c r="I6" s="33" t="s">
        <v>13</v>
      </c>
      <c r="J6" s="33" t="s">
        <v>13</v>
      </c>
      <c r="K6" s="33" t="s">
        <v>13</v>
      </c>
      <c r="L6" s="17"/>
    </row>
    <row r="7" spans="1:14" x14ac:dyDescent="0.25">
      <c r="A7" s="32">
        <v>37653</v>
      </c>
      <c r="B7" s="33" t="s">
        <v>13</v>
      </c>
      <c r="C7" s="33" t="s">
        <v>13</v>
      </c>
      <c r="D7" s="33" t="s">
        <v>13</v>
      </c>
      <c r="E7" s="33" t="s">
        <v>13</v>
      </c>
      <c r="F7" s="33" t="s">
        <v>13</v>
      </c>
      <c r="G7" s="33" t="s">
        <v>13</v>
      </c>
      <c r="H7" s="33" t="s">
        <v>13</v>
      </c>
      <c r="I7" s="33" t="s">
        <v>13</v>
      </c>
      <c r="J7" s="33" t="s">
        <v>13</v>
      </c>
      <c r="K7" s="33" t="s">
        <v>13</v>
      </c>
      <c r="L7" s="17"/>
    </row>
    <row r="8" spans="1:14" x14ac:dyDescent="0.25">
      <c r="A8" s="32">
        <v>37681</v>
      </c>
      <c r="B8" s="33">
        <f>AVERAGE(Dados!B7:B9)</f>
        <v>101.55666666666667</v>
      </c>
      <c r="C8" s="33">
        <f>AVERAGE(Dados!C7:C9)</f>
        <v>97.606666666666669</v>
      </c>
      <c r="D8" s="33">
        <f>AVERAGE(Dados!D7:D9)</f>
        <v>100.88</v>
      </c>
      <c r="E8" s="33">
        <f>AVERAGE(Dados!E7:E9)</f>
        <v>100.15333333333332</v>
      </c>
      <c r="F8" s="33">
        <f>AVERAGE(Dados!F7:F9)</f>
        <v>99.563333333333333</v>
      </c>
      <c r="G8" s="33">
        <f>AVERAGE(Dados!G7:G9)</f>
        <v>101.54333333333334</v>
      </c>
      <c r="H8" s="33">
        <f>AVERAGE(Dados!H7:H9)</f>
        <v>102.05333333333334</v>
      </c>
      <c r="I8" s="33">
        <f>AVERAGE(Dados!I7:I9)</f>
        <v>101.19333333333334</v>
      </c>
      <c r="J8" s="33">
        <f>AVERAGE(Dados!J7:J9)</f>
        <v>105.75333333333333</v>
      </c>
      <c r="K8" s="33">
        <f>AVERAGE(Dados!K7:K9)</f>
        <v>100.41000000000001</v>
      </c>
    </row>
    <row r="9" spans="1:14" x14ac:dyDescent="0.25">
      <c r="A9" s="32">
        <v>37712</v>
      </c>
      <c r="B9" s="33">
        <f>AVERAGE(Dados!B8:B10)</f>
        <v>101.75666666666666</v>
      </c>
      <c r="C9" s="33">
        <f>AVERAGE(Dados!C8:C10)</f>
        <v>97.513333333333321</v>
      </c>
      <c r="D9" s="33">
        <f>AVERAGE(Dados!D8:D10)</f>
        <v>99.936666666666667</v>
      </c>
      <c r="E9" s="33">
        <f>AVERAGE(Dados!E8:E10)</f>
        <v>99.756666666666661</v>
      </c>
      <c r="F9" s="33">
        <f>AVERAGE(Dados!F8:F10)</f>
        <v>99.443333333333328</v>
      </c>
      <c r="G9" s="33">
        <f>AVERAGE(Dados!G8:G10)</f>
        <v>103.90333333333335</v>
      </c>
      <c r="H9" s="33">
        <f>AVERAGE(Dados!H8:H10)</f>
        <v>101.95666666666666</v>
      </c>
      <c r="I9" s="33">
        <f>AVERAGE(Dados!I8:I10)</f>
        <v>101.08333333333333</v>
      </c>
      <c r="J9" s="33">
        <f>AVERAGE(Dados!J8:J10)</f>
        <v>105.25999999999999</v>
      </c>
      <c r="K9" s="33">
        <f>AVERAGE(Dados!K8:K10)</f>
        <v>100.62666666666667</v>
      </c>
    </row>
    <row r="10" spans="1:14" x14ac:dyDescent="0.25">
      <c r="A10" s="32">
        <v>37742</v>
      </c>
      <c r="B10" s="33">
        <f>AVERAGE(Dados!B9:B11)</f>
        <v>101.01666666666667</v>
      </c>
      <c r="C10" s="33">
        <f>AVERAGE(Dados!C9:C11)</f>
        <v>96.93</v>
      </c>
      <c r="D10" s="33">
        <f>AVERAGE(Dados!D9:D11)</f>
        <v>99.339999999999989</v>
      </c>
      <c r="E10" s="33">
        <f>AVERAGE(Dados!E9:E11)</f>
        <v>99.600000000000009</v>
      </c>
      <c r="F10" s="33">
        <f>AVERAGE(Dados!F9:F11)</f>
        <v>99.006666666666661</v>
      </c>
      <c r="G10" s="33">
        <f>AVERAGE(Dados!G9:G11)</f>
        <v>104.53000000000002</v>
      </c>
      <c r="H10" s="33">
        <f>AVERAGE(Dados!H9:H11)</f>
        <v>101.08</v>
      </c>
      <c r="I10" s="33">
        <f>AVERAGE(Dados!I9:I11)</f>
        <v>100.47333333333334</v>
      </c>
      <c r="J10" s="33">
        <f>AVERAGE(Dados!J9:J11)</f>
        <v>104.27</v>
      </c>
      <c r="K10" s="33">
        <f>AVERAGE(Dados!K9:K11)</f>
        <v>100.80333333333334</v>
      </c>
    </row>
    <row r="11" spans="1:14" x14ac:dyDescent="0.25">
      <c r="A11" s="32">
        <v>37773</v>
      </c>
      <c r="B11" s="33">
        <f>AVERAGE(Dados!B10:B12)</f>
        <v>100.38</v>
      </c>
      <c r="C11" s="33">
        <f>AVERAGE(Dados!C10:C12)</f>
        <v>96.166666666666671</v>
      </c>
      <c r="D11" s="33">
        <f>AVERAGE(Dados!D10:D12)</f>
        <v>99.34333333333332</v>
      </c>
      <c r="E11" s="33">
        <f>AVERAGE(Dados!E10:E12)</f>
        <v>99.863333333333344</v>
      </c>
      <c r="F11" s="33">
        <f>AVERAGE(Dados!F10:F12)</f>
        <v>98.416666666666671</v>
      </c>
      <c r="G11" s="33">
        <f>AVERAGE(Dados!G10:G12)</f>
        <v>104.41333333333334</v>
      </c>
      <c r="H11" s="33">
        <f>AVERAGE(Dados!H10:H12)</f>
        <v>100.60666666666667</v>
      </c>
      <c r="I11" s="33">
        <f>AVERAGE(Dados!I10:I12)</f>
        <v>100.13</v>
      </c>
      <c r="J11" s="33">
        <f>AVERAGE(Dados!J10:J12)</f>
        <v>102.31</v>
      </c>
      <c r="K11" s="33">
        <f>AVERAGE(Dados!K10:K12)</f>
        <v>100.74333333333334</v>
      </c>
    </row>
    <row r="12" spans="1:14" x14ac:dyDescent="0.25">
      <c r="A12" s="32">
        <v>37803</v>
      </c>
      <c r="B12" s="33">
        <f>AVERAGE(Dados!B11:B13)</f>
        <v>99.666666666666671</v>
      </c>
      <c r="C12" s="33">
        <f>AVERAGE(Dados!C11:C13)</f>
        <v>95.796666666666667</v>
      </c>
      <c r="D12" s="33">
        <f>AVERAGE(Dados!D11:D13)</f>
        <v>99.276666666666657</v>
      </c>
      <c r="E12" s="33">
        <f>AVERAGE(Dados!E11:E13)</f>
        <v>99.67</v>
      </c>
      <c r="F12" s="33">
        <f>AVERAGE(Dados!F11:F13)</f>
        <v>98.55</v>
      </c>
      <c r="G12" s="33">
        <f>AVERAGE(Dados!G11:G13)</f>
        <v>100.58</v>
      </c>
      <c r="H12" s="33">
        <f>AVERAGE(Dados!H11:H13)</f>
        <v>99.666666666666671</v>
      </c>
      <c r="I12" s="33">
        <f>AVERAGE(Dados!I11:I13)</f>
        <v>100.19666666666666</v>
      </c>
      <c r="J12" s="33">
        <f>AVERAGE(Dados!J11:J13)</f>
        <v>102.63333333333333</v>
      </c>
      <c r="K12" s="33">
        <f>AVERAGE(Dados!K11:K13)</f>
        <v>99.263333333333335</v>
      </c>
    </row>
    <row r="13" spans="1:14" x14ac:dyDescent="0.25">
      <c r="A13" s="32">
        <v>37834</v>
      </c>
      <c r="B13" s="33">
        <f>AVERAGE(Dados!B12:B14)</f>
        <v>99.716666666666654</v>
      </c>
      <c r="C13" s="33">
        <f>AVERAGE(Dados!C12:C14)</f>
        <v>95.966666666666654</v>
      </c>
      <c r="D13" s="33">
        <f>AVERAGE(Dados!D12:D14)</f>
        <v>99.443333333333342</v>
      </c>
      <c r="E13" s="33">
        <f>AVERAGE(Dados!E12:E14)</f>
        <v>99.813333333333333</v>
      </c>
      <c r="F13" s="33">
        <f>AVERAGE(Dados!F12:F14)</f>
        <v>99.406666666666652</v>
      </c>
      <c r="G13" s="33">
        <f>AVERAGE(Dados!G12:G14)</f>
        <v>99.2</v>
      </c>
      <c r="H13" s="33">
        <f>AVERAGE(Dados!H12:H14)</f>
        <v>99.480000000000018</v>
      </c>
      <c r="I13" s="33">
        <f>AVERAGE(Dados!I12:I14)</f>
        <v>100.39666666666666</v>
      </c>
      <c r="J13" s="33">
        <f>AVERAGE(Dados!J12:J14)</f>
        <v>103.11333333333333</v>
      </c>
      <c r="K13" s="33">
        <f>AVERAGE(Dados!K12:K14)</f>
        <v>98.59333333333332</v>
      </c>
    </row>
    <row r="14" spans="1:14" x14ac:dyDescent="0.25">
      <c r="A14" s="32">
        <v>37865</v>
      </c>
      <c r="B14" s="33">
        <f>AVERAGE(Dados!B13:B15)</f>
        <v>100.10333333333334</v>
      </c>
      <c r="C14" s="33">
        <f>AVERAGE(Dados!C13:C15)</f>
        <v>96.743333333333339</v>
      </c>
      <c r="D14" s="33">
        <f>AVERAGE(Dados!D13:D15)</f>
        <v>99.486666666666665</v>
      </c>
      <c r="E14" s="33">
        <f>AVERAGE(Dados!E13:E15)</f>
        <v>99.423333333333332</v>
      </c>
      <c r="F14" s="33">
        <f>AVERAGE(Dados!F13:F15)</f>
        <v>100.66000000000001</v>
      </c>
      <c r="G14" s="33">
        <f>AVERAGE(Dados!G13:G15)</f>
        <v>100.08333333333333</v>
      </c>
      <c r="H14" s="33">
        <f>AVERAGE(Dados!H13:H15)</f>
        <v>99.923333333333332</v>
      </c>
      <c r="I14" s="33">
        <f>AVERAGE(Dados!I13:I15)</f>
        <v>100.53000000000002</v>
      </c>
      <c r="J14" s="33">
        <f>AVERAGE(Dados!J13:J15)</f>
        <v>104.19</v>
      </c>
      <c r="K14" s="33">
        <f>AVERAGE(Dados!K13:K15)</f>
        <v>99.38333333333334</v>
      </c>
    </row>
    <row r="15" spans="1:14" x14ac:dyDescent="0.25">
      <c r="A15" s="32">
        <v>37895</v>
      </c>
      <c r="B15" s="33">
        <f>AVERAGE(Dados!B14:B16)</f>
        <v>101.07000000000001</v>
      </c>
      <c r="C15" s="33">
        <f>AVERAGE(Dados!C14:C16)</f>
        <v>97.63666666666667</v>
      </c>
      <c r="D15" s="33">
        <f>AVERAGE(Dados!D14:D16)</f>
        <v>99.350000000000009</v>
      </c>
      <c r="E15" s="33">
        <f>AVERAGE(Dados!E14:E16)</f>
        <v>99.103333333333339</v>
      </c>
      <c r="F15" s="33">
        <f>AVERAGE(Dados!F14:F16)</f>
        <v>101.81333333333333</v>
      </c>
      <c r="G15" s="33">
        <f>AVERAGE(Dados!G14:G16)</f>
        <v>102.23333333333333</v>
      </c>
      <c r="H15" s="33">
        <f>AVERAGE(Dados!H14:H16)</f>
        <v>101.37333333333333</v>
      </c>
      <c r="I15" s="33">
        <f>AVERAGE(Dados!I14:I16)</f>
        <v>100.68666666666667</v>
      </c>
      <c r="J15" s="33">
        <f>AVERAGE(Dados!J14:J16)</f>
        <v>104.73666666666666</v>
      </c>
      <c r="K15" s="33">
        <f>AVERAGE(Dados!K14:K16)</f>
        <v>100.82333333333332</v>
      </c>
    </row>
    <row r="16" spans="1:14" x14ac:dyDescent="0.25">
      <c r="A16" s="32">
        <v>37926</v>
      </c>
      <c r="B16" s="33">
        <f>AVERAGE(Dados!B15:B17)</f>
        <v>101.78333333333335</v>
      </c>
      <c r="C16" s="33">
        <f>AVERAGE(Dados!C15:C17)</f>
        <v>98.466666666666654</v>
      </c>
      <c r="D16" s="33">
        <f>AVERAGE(Dados!D15:D17)</f>
        <v>99.429999999999993</v>
      </c>
      <c r="E16" s="33">
        <f>AVERAGE(Dados!E15:E17)</f>
        <v>99.176666666666662</v>
      </c>
      <c r="F16" s="33">
        <f>AVERAGE(Dados!F15:F17)</f>
        <v>102.87333333333333</v>
      </c>
      <c r="G16" s="33">
        <f>AVERAGE(Dados!G15:G17)</f>
        <v>104.39666666666666</v>
      </c>
      <c r="H16" s="33">
        <f>AVERAGE(Dados!H15:H17)</f>
        <v>102.67999999999999</v>
      </c>
      <c r="I16" s="33">
        <f>AVERAGE(Dados!I15:I17)</f>
        <v>100.97666666666667</v>
      </c>
      <c r="J16" s="33">
        <f>AVERAGE(Dados!J15:J17)</f>
        <v>105.22333333333331</v>
      </c>
      <c r="K16" s="33">
        <f>AVERAGE(Dados!K15:K17)</f>
        <v>100.45</v>
      </c>
    </row>
    <row r="17" spans="1:11" x14ac:dyDescent="0.25">
      <c r="A17" s="32">
        <v>37956</v>
      </c>
      <c r="B17" s="33">
        <f>AVERAGE(Dados!B16:B18)</f>
        <v>101.79333333333334</v>
      </c>
      <c r="C17" s="33">
        <f>AVERAGE(Dados!C16:C18)</f>
        <v>99.476666666666674</v>
      </c>
      <c r="D17" s="33">
        <f>AVERAGE(Dados!D16:D18)</f>
        <v>99.213333333333324</v>
      </c>
      <c r="E17" s="33">
        <f>AVERAGE(Dados!E16:E18)</f>
        <v>99.08</v>
      </c>
      <c r="F17" s="33">
        <f>AVERAGE(Dados!F16:F18)</f>
        <v>103.33333333333333</v>
      </c>
      <c r="G17" s="33">
        <f>AVERAGE(Dados!G16:G18)</f>
        <v>103.55333333333333</v>
      </c>
      <c r="H17" s="33">
        <f>AVERAGE(Dados!H16:H18)</f>
        <v>102.95666666666666</v>
      </c>
      <c r="I17" s="33">
        <f>AVERAGE(Dados!I16:I18)</f>
        <v>101.05333333333333</v>
      </c>
      <c r="J17" s="33">
        <f>AVERAGE(Dados!J16:J18)</f>
        <v>104.41666666666667</v>
      </c>
      <c r="K17" s="33">
        <f>AVERAGE(Dados!K16:K18)</f>
        <v>99.366666666666674</v>
      </c>
    </row>
    <row r="18" spans="1:11" x14ac:dyDescent="0.25">
      <c r="A18" s="32">
        <v>37987</v>
      </c>
      <c r="B18" s="33">
        <f>AVERAGE(Dados!B17:B19)</f>
        <v>102.37666666666667</v>
      </c>
      <c r="C18" s="33">
        <f>AVERAGE(Dados!C17:C19)</f>
        <v>99.696666666666658</v>
      </c>
      <c r="D18" s="33">
        <f>AVERAGE(Dados!D17:D19)</f>
        <v>99.453333333333333</v>
      </c>
      <c r="E18" s="33">
        <f>AVERAGE(Dados!E17:E19)</f>
        <v>99.263333333333321</v>
      </c>
      <c r="F18" s="33">
        <f>AVERAGE(Dados!F17:F19)</f>
        <v>103.75999999999999</v>
      </c>
      <c r="G18" s="33">
        <f>AVERAGE(Dados!G17:G19)</f>
        <v>103.78333333333332</v>
      </c>
      <c r="H18" s="33">
        <f>AVERAGE(Dados!H17:H19)</f>
        <v>103.31</v>
      </c>
      <c r="I18" s="33">
        <f>AVERAGE(Dados!I17:I19)</f>
        <v>100.95</v>
      </c>
      <c r="J18" s="33">
        <f>AVERAGE(Dados!J17:J19)</f>
        <v>104.62666666666667</v>
      </c>
      <c r="K18" s="33">
        <f>AVERAGE(Dados!K17:K19)</f>
        <v>99.103333333333339</v>
      </c>
    </row>
    <row r="19" spans="1:11" x14ac:dyDescent="0.25">
      <c r="A19" s="32">
        <v>38018</v>
      </c>
      <c r="B19" s="33">
        <f>AVERAGE(Dados!B18:B20)</f>
        <v>103.19333333333333</v>
      </c>
      <c r="C19" s="33">
        <f>AVERAGE(Dados!C18:C20)</f>
        <v>99.653333333333322</v>
      </c>
      <c r="D19" s="33">
        <f>AVERAGE(Dados!D18:D20)</f>
        <v>99.583333333333329</v>
      </c>
      <c r="E19" s="33">
        <f>AVERAGE(Dados!E18:E20)</f>
        <v>99.156666666666652</v>
      </c>
      <c r="F19" s="33">
        <f>AVERAGE(Dados!F18:F20)</f>
        <v>103.33</v>
      </c>
      <c r="G19" s="33">
        <f>AVERAGE(Dados!G18:G20)</f>
        <v>103.41000000000001</v>
      </c>
      <c r="H19" s="33">
        <f>AVERAGE(Dados!H18:H20)</f>
        <v>103.58666666666666</v>
      </c>
      <c r="I19" s="33">
        <f>AVERAGE(Dados!I18:I20)</f>
        <v>100.47000000000001</v>
      </c>
      <c r="J19" s="33">
        <f>AVERAGE(Dados!J18:J20)</f>
        <v>104.76666666666667</v>
      </c>
      <c r="K19" s="33">
        <f>AVERAGE(Dados!K18:K20)</f>
        <v>100.60000000000001</v>
      </c>
    </row>
    <row r="20" spans="1:11" x14ac:dyDescent="0.25">
      <c r="A20" s="32">
        <v>38047</v>
      </c>
      <c r="B20" s="33">
        <f>AVERAGE(Dados!B19:B21)</f>
        <v>104.68666666666667</v>
      </c>
      <c r="C20" s="33">
        <f>AVERAGE(Dados!C19:C21)</f>
        <v>100.17</v>
      </c>
      <c r="D20" s="33">
        <f>AVERAGE(Dados!D19:D21)</f>
        <v>100.24</v>
      </c>
      <c r="E20" s="33">
        <f>AVERAGE(Dados!E19:E21)</f>
        <v>99.373333333333335</v>
      </c>
      <c r="F20" s="33">
        <f>AVERAGE(Dados!F19:F21)</f>
        <v>104.03000000000002</v>
      </c>
      <c r="G20" s="33">
        <f>AVERAGE(Dados!G19:G21)</f>
        <v>105.67333333333333</v>
      </c>
      <c r="H20" s="33">
        <f>AVERAGE(Dados!H19:H21)</f>
        <v>104.64</v>
      </c>
      <c r="I20" s="33">
        <f>AVERAGE(Dados!I19:I21)</f>
        <v>100.60333333333334</v>
      </c>
      <c r="J20" s="33">
        <f>AVERAGE(Dados!J19:J21)</f>
        <v>107.58</v>
      </c>
      <c r="K20" s="33">
        <f>AVERAGE(Dados!K19:K21)</f>
        <v>101.88666666666666</v>
      </c>
    </row>
    <row r="21" spans="1:11" x14ac:dyDescent="0.25">
      <c r="A21" s="32">
        <v>38078</v>
      </c>
      <c r="B21" s="33">
        <f>AVERAGE(Dados!B20:B22)</f>
        <v>105.67</v>
      </c>
      <c r="C21" s="33">
        <f>AVERAGE(Dados!C20:C22)</f>
        <v>101.72333333333334</v>
      </c>
      <c r="D21" s="33">
        <f>AVERAGE(Dados!D20:D22)</f>
        <v>101.09333333333335</v>
      </c>
      <c r="E21" s="33">
        <f>AVERAGE(Dados!E20:E22)</f>
        <v>99.75333333333333</v>
      </c>
      <c r="F21" s="33">
        <f>AVERAGE(Dados!F20:F22)</f>
        <v>104.84333333333332</v>
      </c>
      <c r="G21" s="33">
        <f>AVERAGE(Dados!G20:G22)</f>
        <v>105.96666666666665</v>
      </c>
      <c r="H21" s="33">
        <f>AVERAGE(Dados!H20:H22)</f>
        <v>105.66333333333334</v>
      </c>
      <c r="I21" s="33">
        <f>AVERAGE(Dados!I20:I22)</f>
        <v>100.89666666666666</v>
      </c>
      <c r="J21" s="33">
        <f>AVERAGE(Dados!J20:J22)</f>
        <v>108.18333333333334</v>
      </c>
      <c r="K21" s="33">
        <f>AVERAGE(Dados!K20:K22)</f>
        <v>102.91333333333334</v>
      </c>
    </row>
    <row r="22" spans="1:11" x14ac:dyDescent="0.25">
      <c r="A22" s="32">
        <v>38108</v>
      </c>
      <c r="B22" s="33">
        <f>AVERAGE(Dados!B21:B23)</f>
        <v>106.27666666666666</v>
      </c>
      <c r="C22" s="33">
        <f>AVERAGE(Dados!C21:C23)</f>
        <v>103.02666666666666</v>
      </c>
      <c r="D22" s="33">
        <f>AVERAGE(Dados!D21:D23)</f>
        <v>102.26666666666667</v>
      </c>
      <c r="E22" s="33">
        <f>AVERAGE(Dados!E21:E23)</f>
        <v>100.00666666666666</v>
      </c>
      <c r="F22" s="33">
        <f>AVERAGE(Dados!F21:F23)</f>
        <v>106.11333333333333</v>
      </c>
      <c r="G22" s="33">
        <f>AVERAGE(Dados!G21:G23)</f>
        <v>105.77666666666666</v>
      </c>
      <c r="H22" s="33">
        <f>AVERAGE(Dados!H21:H23)</f>
        <v>106.31666666666666</v>
      </c>
      <c r="I22" s="33">
        <f>AVERAGE(Dados!I21:I23)</f>
        <v>101.54</v>
      </c>
      <c r="J22" s="33">
        <f>AVERAGE(Dados!J21:J23)</f>
        <v>108.11</v>
      </c>
      <c r="K22" s="33">
        <f>AVERAGE(Dados!K21:K23)</f>
        <v>104.28333333333335</v>
      </c>
    </row>
    <row r="23" spans="1:11" x14ac:dyDescent="0.25">
      <c r="A23" s="32">
        <v>38139</v>
      </c>
      <c r="B23" s="33">
        <f>AVERAGE(Dados!B22:B24)</f>
        <v>106.68666666666667</v>
      </c>
      <c r="C23" s="33">
        <f>AVERAGE(Dados!C22:C24)</f>
        <v>103.48</v>
      </c>
      <c r="D23" s="33">
        <f>AVERAGE(Dados!D22:D24)</f>
        <v>102.84666666666668</v>
      </c>
      <c r="E23" s="33">
        <f>AVERAGE(Dados!E22:E24)</f>
        <v>100.30666666666666</v>
      </c>
      <c r="F23" s="33">
        <f>AVERAGE(Dados!F22:F24)</f>
        <v>106.63</v>
      </c>
      <c r="G23" s="33">
        <f>AVERAGE(Dados!G22:G24)</f>
        <v>104.71666666666665</v>
      </c>
      <c r="H23" s="33">
        <f>AVERAGE(Dados!H22:H24)</f>
        <v>106.62333333333333</v>
      </c>
      <c r="I23" s="33">
        <f>AVERAGE(Dados!I22:I24)</f>
        <v>102.09999999999998</v>
      </c>
      <c r="J23" s="33">
        <f>AVERAGE(Dados!J22:J24)</f>
        <v>106.07</v>
      </c>
      <c r="K23" s="33">
        <f>AVERAGE(Dados!K22:K24)</f>
        <v>106.98666666666666</v>
      </c>
    </row>
    <row r="24" spans="1:11" x14ac:dyDescent="0.25">
      <c r="A24" s="32">
        <v>38169</v>
      </c>
      <c r="B24" s="33">
        <f>AVERAGE(Dados!B23:B25)</f>
        <v>107.07666666666665</v>
      </c>
      <c r="C24" s="33">
        <f>AVERAGE(Dados!C23:C25)</f>
        <v>103.7</v>
      </c>
      <c r="D24" s="33">
        <f>AVERAGE(Dados!D23:D25)</f>
        <v>102.97666666666667</v>
      </c>
      <c r="E24" s="33">
        <f>AVERAGE(Dados!E23:E25)</f>
        <v>100.91666666666667</v>
      </c>
      <c r="F24" s="33">
        <f>AVERAGE(Dados!F23:F25)</f>
        <v>107.17666666666666</v>
      </c>
      <c r="G24" s="33">
        <f>AVERAGE(Dados!G23:G25)</f>
        <v>104.63333333333333</v>
      </c>
      <c r="H24" s="33">
        <f>AVERAGE(Dados!H23:H25)</f>
        <v>106.74666666666667</v>
      </c>
      <c r="I24" s="33">
        <f>AVERAGE(Dados!I23:I25)</f>
        <v>102.45</v>
      </c>
      <c r="J24" s="33">
        <f>AVERAGE(Dados!J23:J25)</f>
        <v>105.89999999999999</v>
      </c>
      <c r="K24" s="33">
        <f>AVERAGE(Dados!K23:K25)</f>
        <v>109.05333333333333</v>
      </c>
    </row>
    <row r="25" spans="1:11" x14ac:dyDescent="0.25">
      <c r="A25" s="32">
        <v>38200</v>
      </c>
      <c r="B25" s="33">
        <f>AVERAGE(Dados!B24:B26)</f>
        <v>107.72666666666667</v>
      </c>
      <c r="C25" s="33">
        <f>AVERAGE(Dados!C24:C26)</f>
        <v>103.99333333333334</v>
      </c>
      <c r="D25" s="33">
        <f>AVERAGE(Dados!D24:D26)</f>
        <v>103.10666666666667</v>
      </c>
      <c r="E25" s="33">
        <f>AVERAGE(Dados!E24:E26)</f>
        <v>101.76333333333332</v>
      </c>
      <c r="F25" s="33">
        <f>AVERAGE(Dados!F24:F26)</f>
        <v>107.72666666666667</v>
      </c>
      <c r="G25" s="33">
        <f>AVERAGE(Dados!G24:G26)</f>
        <v>104.74666666666667</v>
      </c>
      <c r="H25" s="33">
        <f>AVERAGE(Dados!H24:H26)</f>
        <v>107.46</v>
      </c>
      <c r="I25" s="33">
        <f>AVERAGE(Dados!I24:I26)</f>
        <v>102.91333333333334</v>
      </c>
      <c r="J25" s="33">
        <f>AVERAGE(Dados!J24:J26)</f>
        <v>107.11666666666667</v>
      </c>
      <c r="K25" s="33">
        <f>AVERAGE(Dados!K24:K26)</f>
        <v>108.26999999999998</v>
      </c>
    </row>
    <row r="26" spans="1:11" x14ac:dyDescent="0.25">
      <c r="A26" s="32">
        <v>38231</v>
      </c>
      <c r="B26" s="33">
        <f>AVERAGE(Dados!B25:B27)</f>
        <v>108.43333333333332</v>
      </c>
      <c r="C26" s="33">
        <f>AVERAGE(Dados!C25:C27)</f>
        <v>103.99333333333334</v>
      </c>
      <c r="D26" s="33">
        <f>AVERAGE(Dados!D25:D27)</f>
        <v>103.49666666666667</v>
      </c>
      <c r="E26" s="33">
        <f>AVERAGE(Dados!E25:E27)</f>
        <v>103.05333333333333</v>
      </c>
      <c r="F26" s="33">
        <f>AVERAGE(Dados!F25:F27)</f>
        <v>108.71333333333332</v>
      </c>
      <c r="G26" s="33">
        <f>AVERAGE(Dados!G25:G27)</f>
        <v>104.53666666666668</v>
      </c>
      <c r="H26" s="33">
        <f>AVERAGE(Dados!H25:H27)</f>
        <v>107.94333333333333</v>
      </c>
      <c r="I26" s="33">
        <f>AVERAGE(Dados!I25:I27)</f>
        <v>103.03333333333335</v>
      </c>
      <c r="J26" s="33">
        <f>AVERAGE(Dados!J25:J27)</f>
        <v>109.02333333333335</v>
      </c>
      <c r="K26" s="33">
        <f>AVERAGE(Dados!K25:K27)</f>
        <v>106.20333333333333</v>
      </c>
    </row>
    <row r="27" spans="1:11" x14ac:dyDescent="0.25">
      <c r="A27" s="32">
        <v>38261</v>
      </c>
      <c r="B27" s="33">
        <f>AVERAGE(Dados!B26:B28)</f>
        <v>108.81333333333333</v>
      </c>
      <c r="C27" s="33">
        <f>AVERAGE(Dados!C26:C28)</f>
        <v>103.75999999999999</v>
      </c>
      <c r="D27" s="33">
        <f>AVERAGE(Dados!D26:D28)</f>
        <v>104.03333333333335</v>
      </c>
      <c r="E27" s="33">
        <f>AVERAGE(Dados!E26:E28)</f>
        <v>103.70333333333332</v>
      </c>
      <c r="F27" s="33">
        <f>AVERAGE(Dados!F26:F28)</f>
        <v>109.25666666666666</v>
      </c>
      <c r="G27" s="33">
        <f>AVERAGE(Dados!G26:G28)</f>
        <v>104.78666666666668</v>
      </c>
      <c r="H27" s="33">
        <f>AVERAGE(Dados!H26:H28)</f>
        <v>108.42999999999999</v>
      </c>
      <c r="I27" s="33">
        <f>AVERAGE(Dados!I26:I28)</f>
        <v>103.46999999999998</v>
      </c>
      <c r="J27" s="33">
        <f>AVERAGE(Dados!J26:J28)</f>
        <v>109.59333333333332</v>
      </c>
      <c r="K27" s="33">
        <f>AVERAGE(Dados!K26:K28)</f>
        <v>104.70333333333333</v>
      </c>
    </row>
    <row r="28" spans="1:11" x14ac:dyDescent="0.25">
      <c r="A28" s="32">
        <v>38292</v>
      </c>
      <c r="B28" s="33">
        <f>AVERAGE(Dados!B27:B29)</f>
        <v>109.29333333333334</v>
      </c>
      <c r="C28" s="33">
        <f>AVERAGE(Dados!C27:C29)</f>
        <v>103.83333333333333</v>
      </c>
      <c r="D28" s="33">
        <f>AVERAGE(Dados!D27:D29)</f>
        <v>103.63333333333333</v>
      </c>
      <c r="E28" s="33">
        <f>AVERAGE(Dados!E27:E29)</f>
        <v>104.29</v>
      </c>
      <c r="F28" s="33">
        <f>AVERAGE(Dados!F27:F29)</f>
        <v>110.12</v>
      </c>
      <c r="G28" s="33">
        <f>AVERAGE(Dados!G27:G29)</f>
        <v>104.99333333333334</v>
      </c>
      <c r="H28" s="33">
        <f>AVERAGE(Dados!H27:H29)</f>
        <v>108.40000000000002</v>
      </c>
      <c r="I28" s="33">
        <f>AVERAGE(Dados!I27:I29)</f>
        <v>103.74000000000001</v>
      </c>
      <c r="J28" s="33">
        <f>AVERAGE(Dados!J27:J29)</f>
        <v>109.58333333333333</v>
      </c>
      <c r="K28" s="33">
        <f>AVERAGE(Dados!K27:K29)</f>
        <v>105.68666666666667</v>
      </c>
    </row>
    <row r="29" spans="1:11" x14ac:dyDescent="0.25">
      <c r="A29" s="32">
        <v>38322</v>
      </c>
      <c r="B29" s="33">
        <f>AVERAGE(Dados!B28:B30)</f>
        <v>109.12666666666667</v>
      </c>
      <c r="C29" s="33">
        <f>AVERAGE(Dados!C28:C30)</f>
        <v>104.19666666666666</v>
      </c>
      <c r="D29" s="33">
        <f>AVERAGE(Dados!D28:D30)</f>
        <v>103.99666666666667</v>
      </c>
      <c r="E29" s="33">
        <f>AVERAGE(Dados!E28:E30)</f>
        <v>104.95333333333333</v>
      </c>
      <c r="F29" s="33">
        <f>AVERAGE(Dados!F28:F30)</f>
        <v>110.78666666666668</v>
      </c>
      <c r="G29" s="33">
        <f>AVERAGE(Dados!G28:G30)</f>
        <v>105.79333333333334</v>
      </c>
      <c r="H29" s="33">
        <f>AVERAGE(Dados!H28:H30)</f>
        <v>109.44</v>
      </c>
      <c r="I29" s="33">
        <f>AVERAGE(Dados!I28:I30)</f>
        <v>104.55999999999999</v>
      </c>
      <c r="J29" s="33">
        <f>AVERAGE(Dados!J28:J30)</f>
        <v>109.41333333333334</v>
      </c>
      <c r="K29" s="33">
        <f>AVERAGE(Dados!K28:K30)</f>
        <v>106.21333333333332</v>
      </c>
    </row>
    <row r="30" spans="1:11" x14ac:dyDescent="0.25">
      <c r="A30" s="32">
        <v>38353</v>
      </c>
      <c r="B30" s="33">
        <f>AVERAGE(Dados!B29:B31)</f>
        <v>109.39333333333333</v>
      </c>
      <c r="C30" s="33">
        <f>AVERAGE(Dados!C29:C31)</f>
        <v>104.73666666666666</v>
      </c>
      <c r="D30" s="33">
        <f>AVERAGE(Dados!D29:D31)</f>
        <v>104.50666666666666</v>
      </c>
      <c r="E30" s="33">
        <f>AVERAGE(Dados!E29:E31)</f>
        <v>105.23666666666668</v>
      </c>
      <c r="F30" s="33">
        <f>AVERAGE(Dados!F29:F31)</f>
        <v>111.09333333333332</v>
      </c>
      <c r="G30" s="33">
        <f>AVERAGE(Dados!G29:G31)</f>
        <v>105.18666666666667</v>
      </c>
      <c r="H30" s="33">
        <f>AVERAGE(Dados!H29:H31)</f>
        <v>109.79333333333334</v>
      </c>
      <c r="I30" s="33">
        <f>AVERAGE(Dados!I29:I31)</f>
        <v>104.63999999999999</v>
      </c>
      <c r="J30" s="33">
        <f>AVERAGE(Dados!J29:J31)</f>
        <v>109.64</v>
      </c>
      <c r="K30" s="33">
        <f>AVERAGE(Dados!K29:K31)</f>
        <v>106.30666666666666</v>
      </c>
    </row>
    <row r="31" spans="1:11" x14ac:dyDescent="0.25">
      <c r="A31" s="32">
        <v>38384</v>
      </c>
      <c r="B31" s="33">
        <f>AVERAGE(Dados!B30:B32)</f>
        <v>109.58666666666666</v>
      </c>
      <c r="C31" s="33">
        <f>AVERAGE(Dados!C30:C32)</f>
        <v>104.98333333333333</v>
      </c>
      <c r="D31" s="33">
        <f>AVERAGE(Dados!D30:D32)</f>
        <v>105.87333333333333</v>
      </c>
      <c r="E31" s="33">
        <f>AVERAGE(Dados!E30:E32)</f>
        <v>105.10000000000001</v>
      </c>
      <c r="F31" s="33">
        <f>AVERAGE(Dados!F30:F32)</f>
        <v>110.98333333333333</v>
      </c>
      <c r="G31" s="33">
        <f>AVERAGE(Dados!G30:G32)</f>
        <v>104.96333333333332</v>
      </c>
      <c r="H31" s="33">
        <f>AVERAGE(Dados!H30:H32)</f>
        <v>109.78333333333335</v>
      </c>
      <c r="I31" s="33">
        <f>AVERAGE(Dados!I30:I32)</f>
        <v>104.86333333333334</v>
      </c>
      <c r="J31" s="33">
        <f>AVERAGE(Dados!J30:J32)</f>
        <v>109.63999999999999</v>
      </c>
      <c r="K31" s="33">
        <f>AVERAGE(Dados!K30:K32)</f>
        <v>106.36666666666667</v>
      </c>
    </row>
    <row r="32" spans="1:11" x14ac:dyDescent="0.25">
      <c r="A32" s="32">
        <v>38412</v>
      </c>
      <c r="B32" s="33">
        <f>AVERAGE(Dados!B31:B33)</f>
        <v>110.14</v>
      </c>
      <c r="C32" s="33">
        <f>AVERAGE(Dados!C31:C33)</f>
        <v>105.17333333333333</v>
      </c>
      <c r="D32" s="33">
        <f>AVERAGE(Dados!D31:D33)</f>
        <v>106.45</v>
      </c>
      <c r="E32" s="33">
        <f>AVERAGE(Dados!E31:E33)</f>
        <v>104.21</v>
      </c>
      <c r="F32" s="33">
        <f>AVERAGE(Dados!F31:F33)</f>
        <v>110.71999999999998</v>
      </c>
      <c r="G32" s="33">
        <f>AVERAGE(Dados!G31:G33)</f>
        <v>105.15666666666668</v>
      </c>
      <c r="H32" s="33">
        <f>AVERAGE(Dados!H31:H33)</f>
        <v>109.22333333333331</v>
      </c>
      <c r="I32" s="33">
        <f>AVERAGE(Dados!I31:I33)</f>
        <v>104.68666666666667</v>
      </c>
      <c r="J32" s="33">
        <f>AVERAGE(Dados!J31:J33)</f>
        <v>110.42666666666666</v>
      </c>
      <c r="K32" s="33">
        <f>AVERAGE(Dados!K31:K33)</f>
        <v>106.82333333333332</v>
      </c>
    </row>
    <row r="33" spans="1:11" x14ac:dyDescent="0.25">
      <c r="A33" s="32">
        <v>38443</v>
      </c>
      <c r="B33" s="33">
        <f>AVERAGE(Dados!B32:B34)</f>
        <v>110.63333333333333</v>
      </c>
      <c r="C33" s="33">
        <f>AVERAGE(Dados!C32:C34)</f>
        <v>105.35666666666667</v>
      </c>
      <c r="D33" s="33">
        <f>AVERAGE(Dados!D32:D34)</f>
        <v>106.55</v>
      </c>
      <c r="E33" s="33">
        <f>AVERAGE(Dados!E32:E34)</f>
        <v>104.17999999999999</v>
      </c>
      <c r="F33" s="33">
        <f>AVERAGE(Dados!F32:F34)</f>
        <v>110.73</v>
      </c>
      <c r="G33" s="33">
        <f>AVERAGE(Dados!G32:G34)</f>
        <v>99.943333333333342</v>
      </c>
      <c r="H33" s="33">
        <f>AVERAGE(Dados!H32:H34)</f>
        <v>109.07666666666665</v>
      </c>
      <c r="I33" s="33">
        <f>AVERAGE(Dados!I32:I34)</f>
        <v>105.23333333333333</v>
      </c>
      <c r="J33" s="33">
        <f>AVERAGE(Dados!J32:J34)</f>
        <v>110.55</v>
      </c>
      <c r="K33" s="33">
        <f>AVERAGE(Dados!K32:K34)</f>
        <v>107.54</v>
      </c>
    </row>
    <row r="34" spans="1:11" x14ac:dyDescent="0.25">
      <c r="A34" s="32">
        <v>38473</v>
      </c>
      <c r="B34" s="33">
        <f>AVERAGE(Dados!B33:B35)</f>
        <v>110.85666666666667</v>
      </c>
      <c r="C34" s="33">
        <f>AVERAGE(Dados!C33:C35)</f>
        <v>105.47333333333334</v>
      </c>
      <c r="D34" s="33">
        <f>AVERAGE(Dados!D33:D35)</f>
        <v>106.82000000000001</v>
      </c>
      <c r="E34" s="33">
        <f>AVERAGE(Dados!E33:E35)</f>
        <v>104.35000000000001</v>
      </c>
      <c r="F34" s="33">
        <f>AVERAGE(Dados!F33:F35)</f>
        <v>111.10666666666667</v>
      </c>
      <c r="G34" s="33">
        <f>AVERAGE(Dados!G33:G35)</f>
        <v>99.480000000000018</v>
      </c>
      <c r="H34" s="33">
        <f>AVERAGE(Dados!H33:H35)</f>
        <v>109.29666666666667</v>
      </c>
      <c r="I34" s="33">
        <f>AVERAGE(Dados!I33:I35)</f>
        <v>106.00333333333333</v>
      </c>
      <c r="J34" s="33">
        <f>AVERAGE(Dados!J33:J35)</f>
        <v>110.61000000000001</v>
      </c>
      <c r="K34" s="33">
        <f>AVERAGE(Dados!K33:K35)</f>
        <v>108.28666666666668</v>
      </c>
    </row>
    <row r="35" spans="1:11" x14ac:dyDescent="0.25">
      <c r="A35" s="32">
        <v>38504</v>
      </c>
      <c r="B35" s="33">
        <f>AVERAGE(Dados!B34:B36)</f>
        <v>110.82666666666667</v>
      </c>
      <c r="C35" s="33">
        <f>AVERAGE(Dados!C34:C36)</f>
        <v>105.44666666666667</v>
      </c>
      <c r="D35" s="33">
        <f>AVERAGE(Dados!D34:D36)</f>
        <v>106.87666666666667</v>
      </c>
      <c r="E35" s="33">
        <f>AVERAGE(Dados!E34:E36)</f>
        <v>104.58999999999999</v>
      </c>
      <c r="F35" s="33">
        <f>AVERAGE(Dados!F34:F36)</f>
        <v>111.47666666666667</v>
      </c>
      <c r="G35" s="33">
        <f>AVERAGE(Dados!G34:G36)</f>
        <v>99.13</v>
      </c>
      <c r="H35" s="33">
        <f>AVERAGE(Dados!H34:H36)</f>
        <v>109.41666666666667</v>
      </c>
      <c r="I35" s="33">
        <f>AVERAGE(Dados!I34:I36)</f>
        <v>106.27666666666666</v>
      </c>
      <c r="J35" s="33">
        <f>AVERAGE(Dados!J34:J36)</f>
        <v>109.83</v>
      </c>
      <c r="K35" s="33">
        <f>AVERAGE(Dados!K34:K36)</f>
        <v>110.28333333333335</v>
      </c>
    </row>
    <row r="36" spans="1:11" x14ac:dyDescent="0.25">
      <c r="A36" s="32">
        <v>38534</v>
      </c>
      <c r="B36" s="33">
        <f>AVERAGE(Dados!B35:B37)</f>
        <v>110.67999999999999</v>
      </c>
      <c r="C36" s="33">
        <f>AVERAGE(Dados!C35:C37)</f>
        <v>105.34333333333332</v>
      </c>
      <c r="D36" s="33">
        <f>AVERAGE(Dados!D35:D37)</f>
        <v>107.58</v>
      </c>
      <c r="E36" s="33">
        <f>AVERAGE(Dados!E35:E37)</f>
        <v>104.63666666666667</v>
      </c>
      <c r="F36" s="33">
        <f>AVERAGE(Dados!F35:F37)</f>
        <v>111.71333333333332</v>
      </c>
      <c r="G36" s="33">
        <f>AVERAGE(Dados!G35:G37)</f>
        <v>104.40333333333335</v>
      </c>
      <c r="H36" s="33">
        <f>AVERAGE(Dados!H35:H37)</f>
        <v>109.23</v>
      </c>
      <c r="I36" s="33">
        <f>AVERAGE(Dados!I35:I37)</f>
        <v>106.43</v>
      </c>
      <c r="J36" s="33">
        <f>AVERAGE(Dados!J35:J37)</f>
        <v>109.37</v>
      </c>
      <c r="K36" s="33">
        <f>AVERAGE(Dados!K35:K37)</f>
        <v>113.58</v>
      </c>
    </row>
    <row r="37" spans="1:11" x14ac:dyDescent="0.25">
      <c r="A37" s="32">
        <v>38565</v>
      </c>
      <c r="B37" s="33">
        <f>AVERAGE(Dados!B36:B38)</f>
        <v>110.78000000000002</v>
      </c>
      <c r="C37" s="33">
        <f>AVERAGE(Dados!C36:C38)</f>
        <v>105.64999999999999</v>
      </c>
      <c r="D37" s="33">
        <f>AVERAGE(Dados!D36:D38)</f>
        <v>107.92</v>
      </c>
      <c r="E37" s="33">
        <f>AVERAGE(Dados!E36:E38)</f>
        <v>104.52333333333335</v>
      </c>
      <c r="F37" s="33">
        <f>AVERAGE(Dados!F36:F38)</f>
        <v>112.04666666666667</v>
      </c>
      <c r="G37" s="33">
        <f>AVERAGE(Dados!G36:G38)</f>
        <v>105.05333333333334</v>
      </c>
      <c r="H37" s="33">
        <f>AVERAGE(Dados!H36:H38)</f>
        <v>109.04333333333334</v>
      </c>
      <c r="I37" s="33">
        <f>AVERAGE(Dados!I36:I38)</f>
        <v>106.63</v>
      </c>
      <c r="J37" s="33">
        <f>AVERAGE(Dados!J36:J38)</f>
        <v>108.71</v>
      </c>
      <c r="K37" s="33">
        <f>AVERAGE(Dados!K36:K38)</f>
        <v>114.71999999999998</v>
      </c>
    </row>
    <row r="38" spans="1:11" x14ac:dyDescent="0.25">
      <c r="A38" s="32">
        <v>38596</v>
      </c>
      <c r="B38" s="33">
        <f>AVERAGE(Dados!B37:B39)</f>
        <v>110.91333333333334</v>
      </c>
      <c r="C38" s="33">
        <f>AVERAGE(Dados!C37:C39)</f>
        <v>106.07333333333334</v>
      </c>
      <c r="D38" s="33">
        <f>AVERAGE(Dados!D37:D39)</f>
        <v>108.13333333333333</v>
      </c>
      <c r="E38" s="33">
        <f>AVERAGE(Dados!E37:E39)</f>
        <v>104.45</v>
      </c>
      <c r="F38" s="33">
        <f>AVERAGE(Dados!F37:F39)</f>
        <v>112.22666666666667</v>
      </c>
      <c r="G38" s="33">
        <f>AVERAGE(Dados!G37:G39)</f>
        <v>104.49000000000001</v>
      </c>
      <c r="H38" s="33">
        <f>AVERAGE(Dados!H37:H39)</f>
        <v>107.92666666666666</v>
      </c>
      <c r="I38" s="33">
        <f>AVERAGE(Dados!I37:I39)</f>
        <v>107.36</v>
      </c>
      <c r="J38" s="33">
        <f>AVERAGE(Dados!J37:J39)</f>
        <v>108.80333333333333</v>
      </c>
      <c r="K38" s="33">
        <f>AVERAGE(Dados!K37:K39)</f>
        <v>113.69666666666667</v>
      </c>
    </row>
    <row r="39" spans="1:11" x14ac:dyDescent="0.25">
      <c r="A39" s="32">
        <v>38626</v>
      </c>
      <c r="B39" s="33">
        <f>AVERAGE(Dados!B38:B40)</f>
        <v>111.01333333333334</v>
      </c>
      <c r="C39" s="33">
        <f>AVERAGE(Dados!C38:C40)</f>
        <v>106.57666666666667</v>
      </c>
      <c r="D39" s="33">
        <f>AVERAGE(Dados!D38:D40)</f>
        <v>107.93333333333332</v>
      </c>
      <c r="E39" s="33">
        <f>AVERAGE(Dados!E38:E40)</f>
        <v>104.71666666666665</v>
      </c>
      <c r="F39" s="33">
        <f>AVERAGE(Dados!F38:F40)</f>
        <v>112.59333333333332</v>
      </c>
      <c r="G39" s="33">
        <f>AVERAGE(Dados!G38:G40)</f>
        <v>104.07000000000001</v>
      </c>
      <c r="H39" s="33">
        <f>AVERAGE(Dados!H38:H40)</f>
        <v>107.85000000000001</v>
      </c>
      <c r="I39" s="33">
        <f>AVERAGE(Dados!I38:I40)</f>
        <v>107.79333333333334</v>
      </c>
      <c r="J39" s="33">
        <f>AVERAGE(Dados!J38:J40)</f>
        <v>108.54333333333334</v>
      </c>
      <c r="K39" s="33">
        <f>AVERAGE(Dados!K38:K40)</f>
        <v>111.23</v>
      </c>
    </row>
    <row r="40" spans="1:11" x14ac:dyDescent="0.25">
      <c r="A40" s="32">
        <v>38657</v>
      </c>
      <c r="B40" s="33">
        <f>AVERAGE(Dados!B39:B41)</f>
        <v>111.22000000000001</v>
      </c>
      <c r="C40" s="33">
        <f>AVERAGE(Dados!C39:C41)</f>
        <v>107</v>
      </c>
      <c r="D40" s="33">
        <f>AVERAGE(Dados!D39:D41)</f>
        <v>108.14999999999999</v>
      </c>
      <c r="E40" s="33">
        <f>AVERAGE(Dados!E39:E41)</f>
        <v>105.39666666666666</v>
      </c>
      <c r="F40" s="33">
        <f>AVERAGE(Dados!F39:F41)</f>
        <v>113.03666666666668</v>
      </c>
      <c r="G40" s="33">
        <f>AVERAGE(Dados!G39:G41)</f>
        <v>103.46666666666668</v>
      </c>
      <c r="H40" s="33">
        <f>AVERAGE(Dados!H39:H41)</f>
        <v>108.41000000000001</v>
      </c>
      <c r="I40" s="33">
        <f>AVERAGE(Dados!I39:I41)</f>
        <v>108.25</v>
      </c>
      <c r="J40" s="33">
        <f>AVERAGE(Dados!J39:J41)</f>
        <v>108.50999999999999</v>
      </c>
      <c r="K40" s="33">
        <f>AVERAGE(Dados!K39:K41)</f>
        <v>110.52</v>
      </c>
    </row>
    <row r="41" spans="1:11" x14ac:dyDescent="0.25">
      <c r="A41" s="32">
        <v>38687</v>
      </c>
      <c r="B41" s="33">
        <f>AVERAGE(Dados!B40:B42)</f>
        <v>111.66333333333334</v>
      </c>
      <c r="C41" s="33">
        <f>AVERAGE(Dados!C40:C42)</f>
        <v>107.33</v>
      </c>
      <c r="D41" s="33">
        <f>AVERAGE(Dados!D40:D42)</f>
        <v>109.05333333333333</v>
      </c>
      <c r="E41" s="33">
        <f>AVERAGE(Dados!E40:E42)</f>
        <v>106.57</v>
      </c>
      <c r="F41" s="33">
        <f>AVERAGE(Dados!F40:F42)</f>
        <v>113.81666666666666</v>
      </c>
      <c r="G41" s="33">
        <f>AVERAGE(Dados!G40:G42)</f>
        <v>103.54333333333334</v>
      </c>
      <c r="H41" s="33">
        <f>AVERAGE(Dados!H40:H42)</f>
        <v>109.89999999999999</v>
      </c>
      <c r="I41" s="33">
        <f>AVERAGE(Dados!I40:I42)</f>
        <v>108.53666666666668</v>
      </c>
      <c r="J41" s="33">
        <f>AVERAGE(Dados!J40:J42)</f>
        <v>108.00333333333333</v>
      </c>
      <c r="K41" s="33">
        <f>AVERAGE(Dados!K40:K42)</f>
        <v>111.27</v>
      </c>
    </row>
    <row r="42" spans="1:11" x14ac:dyDescent="0.25">
      <c r="A42" s="32">
        <v>38718</v>
      </c>
      <c r="B42" s="33">
        <f>AVERAGE(Dados!B41:B43)</f>
        <v>112.44</v>
      </c>
      <c r="C42" s="33">
        <f>AVERAGE(Dados!C41:C43)</f>
        <v>107.96666666666668</v>
      </c>
      <c r="D42" s="33">
        <f>AVERAGE(Dados!D41:D43)</f>
        <v>110.00666666666666</v>
      </c>
      <c r="E42" s="33">
        <f>AVERAGE(Dados!E41:E43)</f>
        <v>108.35000000000001</v>
      </c>
      <c r="F42" s="33">
        <f>AVERAGE(Dados!F41:F43)</f>
        <v>114.81333333333333</v>
      </c>
      <c r="G42" s="33">
        <f>AVERAGE(Dados!G41:G43)</f>
        <v>104.8</v>
      </c>
      <c r="H42" s="33">
        <f>AVERAGE(Dados!H41:H43)</f>
        <v>111.19</v>
      </c>
      <c r="I42" s="33">
        <f>AVERAGE(Dados!I41:I43)</f>
        <v>109.25999999999999</v>
      </c>
      <c r="J42" s="33">
        <f>AVERAGE(Dados!J41:J43)</f>
        <v>109.32333333333334</v>
      </c>
      <c r="K42" s="33">
        <f>AVERAGE(Dados!K41:K43)</f>
        <v>112.17999999999999</v>
      </c>
    </row>
    <row r="43" spans="1:11" x14ac:dyDescent="0.25">
      <c r="A43" s="32">
        <v>38749</v>
      </c>
      <c r="B43" s="33">
        <f>AVERAGE(Dados!B42:B44)</f>
        <v>113.03333333333332</v>
      </c>
      <c r="C43" s="33">
        <f>AVERAGE(Dados!C42:C44)</f>
        <v>108.67333333333333</v>
      </c>
      <c r="D43" s="33">
        <f>AVERAGE(Dados!D42:D44)</f>
        <v>110.39</v>
      </c>
      <c r="E43" s="33">
        <f>AVERAGE(Dados!E42:E44)</f>
        <v>109.59666666666668</v>
      </c>
      <c r="F43" s="33">
        <f>AVERAGE(Dados!F42:F44)</f>
        <v>115.56333333333333</v>
      </c>
      <c r="G43" s="33">
        <f>AVERAGE(Dados!G42:G44)</f>
        <v>106.21</v>
      </c>
      <c r="H43" s="33">
        <f>AVERAGE(Dados!H42:H44)</f>
        <v>111.53666666666668</v>
      </c>
      <c r="I43" s="33">
        <f>AVERAGE(Dados!I42:I44)</f>
        <v>109.96</v>
      </c>
      <c r="J43" s="33">
        <f>AVERAGE(Dados!J42:J44)</f>
        <v>109.94333333333334</v>
      </c>
      <c r="K43" s="33">
        <f>AVERAGE(Dados!K42:K44)</f>
        <v>113.40333333333335</v>
      </c>
    </row>
    <row r="44" spans="1:11" x14ac:dyDescent="0.25">
      <c r="A44" s="32">
        <v>38777</v>
      </c>
      <c r="B44" s="33">
        <f>AVERAGE(Dados!B43:B45)</f>
        <v>113.61</v>
      </c>
      <c r="C44" s="33">
        <f>AVERAGE(Dados!C43:C45)</f>
        <v>108.99000000000001</v>
      </c>
      <c r="D44" s="33">
        <f>AVERAGE(Dados!D43:D45)</f>
        <v>110.27666666666669</v>
      </c>
      <c r="E44" s="33">
        <f>AVERAGE(Dados!E43:E45)</f>
        <v>110.51333333333334</v>
      </c>
      <c r="F44" s="33">
        <f>AVERAGE(Dados!F43:F45)</f>
        <v>116.01</v>
      </c>
      <c r="G44" s="33">
        <f>AVERAGE(Dados!G43:G45)</f>
        <v>105.23666666666666</v>
      </c>
      <c r="H44" s="33">
        <f>AVERAGE(Dados!H43:H45)</f>
        <v>111.17333333333333</v>
      </c>
      <c r="I44" s="33">
        <f>AVERAGE(Dados!I43:I45)</f>
        <v>110.02666666666666</v>
      </c>
      <c r="J44" s="33">
        <f>AVERAGE(Dados!J43:J45)</f>
        <v>109.66666666666667</v>
      </c>
      <c r="K44" s="33">
        <f>AVERAGE(Dados!K43:K45)</f>
        <v>113.74333333333334</v>
      </c>
    </row>
    <row r="45" spans="1:11" x14ac:dyDescent="0.25">
      <c r="A45" s="32">
        <v>38808</v>
      </c>
      <c r="B45" s="33">
        <f>AVERAGE(Dados!B44:B46)</f>
        <v>113.89999999999999</v>
      </c>
      <c r="C45" s="33">
        <f>AVERAGE(Dados!C44:C46)</f>
        <v>109.29</v>
      </c>
      <c r="D45" s="33">
        <f>AVERAGE(Dados!D44:D46)</f>
        <v>110.83666666666666</v>
      </c>
      <c r="E45" s="33">
        <f>AVERAGE(Dados!E44:E46)</f>
        <v>110.69000000000001</v>
      </c>
      <c r="F45" s="33">
        <f>AVERAGE(Dados!F44:F46)</f>
        <v>116.33333333333333</v>
      </c>
      <c r="G45" s="33">
        <f>AVERAGE(Dados!G44:G46)</f>
        <v>103.17</v>
      </c>
      <c r="H45" s="33">
        <f>AVERAGE(Dados!H44:H46)</f>
        <v>110.40333333333335</v>
      </c>
      <c r="I45" s="33">
        <f>AVERAGE(Dados!I44:I46)</f>
        <v>110.01333333333334</v>
      </c>
      <c r="J45" s="33">
        <f>AVERAGE(Dados!J44:J46)</f>
        <v>108.55333333333334</v>
      </c>
      <c r="K45" s="33">
        <f>AVERAGE(Dados!K44:K46)</f>
        <v>114.26666666666667</v>
      </c>
    </row>
    <row r="46" spans="1:11" x14ac:dyDescent="0.25">
      <c r="A46" s="32">
        <v>38838</v>
      </c>
      <c r="B46" s="33">
        <f>AVERAGE(Dados!B45:B47)</f>
        <v>114.55</v>
      </c>
      <c r="C46" s="33">
        <f>AVERAGE(Dados!C45:C47)</f>
        <v>109.86</v>
      </c>
      <c r="D46" s="33">
        <f>AVERAGE(Dados!D45:D47)</f>
        <v>111.27</v>
      </c>
      <c r="E46" s="33">
        <f>AVERAGE(Dados!E45:E47)</f>
        <v>111.87666666666667</v>
      </c>
      <c r="F46" s="33">
        <f>AVERAGE(Dados!F45:F47)</f>
        <v>116.89333333333333</v>
      </c>
      <c r="G46" s="33">
        <f>AVERAGE(Dados!G45:G47)</f>
        <v>102.82000000000001</v>
      </c>
      <c r="H46" s="33">
        <f>AVERAGE(Dados!H45:H47)</f>
        <v>110.80666666666666</v>
      </c>
      <c r="I46" s="33">
        <f>AVERAGE(Dados!I45:I47)</f>
        <v>109.72666666666667</v>
      </c>
      <c r="J46" s="33">
        <f>AVERAGE(Dados!J45:J47)</f>
        <v>109.48666666666668</v>
      </c>
      <c r="K46" s="33">
        <f>AVERAGE(Dados!K45:K47)</f>
        <v>114.39333333333333</v>
      </c>
    </row>
    <row r="47" spans="1:11" x14ac:dyDescent="0.25">
      <c r="A47" s="32">
        <v>38869</v>
      </c>
      <c r="B47" s="33">
        <f>AVERAGE(Dados!B46:B48)</f>
        <v>114.83</v>
      </c>
      <c r="C47" s="33">
        <f>AVERAGE(Dados!C46:C48)</f>
        <v>110.88</v>
      </c>
      <c r="D47" s="33">
        <f>AVERAGE(Dados!D46:D48)</f>
        <v>111.92666666666666</v>
      </c>
      <c r="E47" s="33">
        <f>AVERAGE(Dados!E46:E48)</f>
        <v>112.85333333333334</v>
      </c>
      <c r="F47" s="33">
        <f>AVERAGE(Dados!F46:F48)</f>
        <v>116.89999999999999</v>
      </c>
      <c r="G47" s="33">
        <f>AVERAGE(Dados!G46:G48)</f>
        <v>104.73</v>
      </c>
      <c r="H47" s="33">
        <f>AVERAGE(Dados!H46:H48)</f>
        <v>111.14333333333333</v>
      </c>
      <c r="I47" s="33">
        <f>AVERAGE(Dados!I46:I48)</f>
        <v>109.54333333333334</v>
      </c>
      <c r="J47" s="33">
        <f>AVERAGE(Dados!J46:J48)</f>
        <v>110.79333333333334</v>
      </c>
      <c r="K47" s="33">
        <f>AVERAGE(Dados!K46:K48)</f>
        <v>114.22666666666667</v>
      </c>
    </row>
    <row r="48" spans="1:11" x14ac:dyDescent="0.25">
      <c r="A48" s="32">
        <v>38899</v>
      </c>
      <c r="B48" s="33">
        <f>AVERAGE(Dados!B47:B49)</f>
        <v>115.72000000000001</v>
      </c>
      <c r="C48" s="33">
        <f>AVERAGE(Dados!C47:C49)</f>
        <v>112.11</v>
      </c>
      <c r="D48" s="33">
        <f>AVERAGE(Dados!D47:D49)</f>
        <v>112.50666666666666</v>
      </c>
      <c r="E48" s="33">
        <f>AVERAGE(Dados!E47:E49)</f>
        <v>114.09333333333335</v>
      </c>
      <c r="F48" s="33">
        <f>AVERAGE(Dados!F47:F49)</f>
        <v>117.35666666666667</v>
      </c>
      <c r="G48" s="33">
        <f>AVERAGE(Dados!G47:G49)</f>
        <v>107.02333333333333</v>
      </c>
      <c r="H48" s="33">
        <f>AVERAGE(Dados!H47:H49)</f>
        <v>112.21666666666665</v>
      </c>
      <c r="I48" s="33">
        <f>AVERAGE(Dados!I47:I49)</f>
        <v>109.82666666666667</v>
      </c>
      <c r="J48" s="33">
        <f>AVERAGE(Dados!J47:J49)</f>
        <v>111.62</v>
      </c>
      <c r="K48" s="33">
        <f>AVERAGE(Dados!K47:K49)</f>
        <v>113.63666666666666</v>
      </c>
    </row>
    <row r="49" spans="1:11" x14ac:dyDescent="0.25">
      <c r="A49" s="32">
        <v>38930</v>
      </c>
      <c r="B49" s="33">
        <f>AVERAGE(Dados!B48:B50)</f>
        <v>116.04</v>
      </c>
      <c r="C49" s="33">
        <f>AVERAGE(Dados!C48:C50)</f>
        <v>112.50999999999999</v>
      </c>
      <c r="D49" s="33">
        <f>AVERAGE(Dados!D48:D50)</f>
        <v>113.02</v>
      </c>
      <c r="E49" s="33">
        <f>AVERAGE(Dados!E48:E50)</f>
        <v>114.45666666666666</v>
      </c>
      <c r="F49" s="33">
        <f>AVERAGE(Dados!F48:F50)</f>
        <v>117.39333333333333</v>
      </c>
      <c r="G49" s="33">
        <f>AVERAGE(Dados!G48:G50)</f>
        <v>107.40666666666668</v>
      </c>
      <c r="H49" s="33">
        <f>AVERAGE(Dados!H48:H50)</f>
        <v>112.37</v>
      </c>
      <c r="I49" s="33">
        <f>AVERAGE(Dados!I48:I50)</f>
        <v>110.01666666666667</v>
      </c>
      <c r="J49" s="33">
        <f>AVERAGE(Dados!J48:J50)</f>
        <v>111.06</v>
      </c>
      <c r="K49" s="33">
        <f>AVERAGE(Dados!K48:K50)</f>
        <v>113.27333333333333</v>
      </c>
    </row>
    <row r="50" spans="1:11" x14ac:dyDescent="0.25">
      <c r="A50" s="32">
        <v>38961</v>
      </c>
      <c r="B50" s="33">
        <f>AVERAGE(Dados!B49:B51)</f>
        <v>116.74000000000001</v>
      </c>
      <c r="C50" s="33">
        <f>AVERAGE(Dados!C49:C51)</f>
        <v>112.68666666666667</v>
      </c>
      <c r="D50" s="33">
        <f>AVERAGE(Dados!D49:D51)</f>
        <v>113.67666666666666</v>
      </c>
      <c r="E50" s="33">
        <f>AVERAGE(Dados!E49:E51)</f>
        <v>114.58</v>
      </c>
      <c r="F50" s="33">
        <f>AVERAGE(Dados!F49:F51)</f>
        <v>117.66000000000001</v>
      </c>
      <c r="G50" s="33">
        <f>AVERAGE(Dados!G49:G51)</f>
        <v>107.98</v>
      </c>
      <c r="H50" s="33">
        <f>AVERAGE(Dados!H49:H51)</f>
        <v>113.06333333333333</v>
      </c>
      <c r="I50" s="33">
        <f>AVERAGE(Dados!I49:I51)</f>
        <v>110.71333333333332</v>
      </c>
      <c r="J50" s="33">
        <f>AVERAGE(Dados!J49:J51)</f>
        <v>110.16000000000001</v>
      </c>
      <c r="K50" s="33">
        <f>AVERAGE(Dados!K49:K51)</f>
        <v>113.69333333333334</v>
      </c>
    </row>
    <row r="51" spans="1:11" x14ac:dyDescent="0.25">
      <c r="A51" s="32">
        <v>38991</v>
      </c>
      <c r="B51" s="33">
        <f>AVERAGE(Dados!B50:B52)</f>
        <v>117.16666666666667</v>
      </c>
      <c r="C51" s="33">
        <f>AVERAGE(Dados!C50:C52)</f>
        <v>112.42</v>
      </c>
      <c r="D51" s="33">
        <f>AVERAGE(Dados!D50:D52)</f>
        <v>113.99666666666667</v>
      </c>
      <c r="E51" s="33">
        <f>AVERAGE(Dados!E50:E52)</f>
        <v>114.42666666666666</v>
      </c>
      <c r="F51" s="33">
        <f>AVERAGE(Dados!F50:F52)</f>
        <v>117.66666666666667</v>
      </c>
      <c r="G51" s="33">
        <f>AVERAGE(Dados!G50:G52)</f>
        <v>108.27</v>
      </c>
      <c r="H51" s="33">
        <f>AVERAGE(Dados!H50:H52)</f>
        <v>113.23333333333333</v>
      </c>
      <c r="I51" s="33">
        <f>AVERAGE(Dados!I50:I52)</f>
        <v>110.81</v>
      </c>
      <c r="J51" s="33">
        <f>AVERAGE(Dados!J50:J52)</f>
        <v>110.30666666666667</v>
      </c>
      <c r="K51" s="33">
        <f>AVERAGE(Dados!K50:K52)</f>
        <v>114.44666666666667</v>
      </c>
    </row>
    <row r="52" spans="1:11" x14ac:dyDescent="0.25">
      <c r="A52" s="32">
        <v>39022</v>
      </c>
      <c r="B52" s="33">
        <f>AVERAGE(Dados!B51:B53)</f>
        <v>117.94333333333333</v>
      </c>
      <c r="C52" s="33">
        <f>AVERAGE(Dados!C51:C53)</f>
        <v>112.75999999999999</v>
      </c>
      <c r="D52" s="33">
        <f>AVERAGE(Dados!D51:D53)</f>
        <v>114.58</v>
      </c>
      <c r="E52" s="33">
        <f>AVERAGE(Dados!E51:E53)</f>
        <v>114.02</v>
      </c>
      <c r="F52" s="33">
        <f>AVERAGE(Dados!F51:F53)</f>
        <v>117.88666666666666</v>
      </c>
      <c r="G52" s="33">
        <f>AVERAGE(Dados!G51:G53)</f>
        <v>108.07666666666667</v>
      </c>
      <c r="H52" s="33">
        <f>AVERAGE(Dados!H51:H53)</f>
        <v>113.52</v>
      </c>
      <c r="I52" s="33">
        <f>AVERAGE(Dados!I51:I53)</f>
        <v>111.09666666666668</v>
      </c>
      <c r="J52" s="33">
        <f>AVERAGE(Dados!J51:J53)</f>
        <v>110.99666666666667</v>
      </c>
      <c r="K52" s="33">
        <f>AVERAGE(Dados!K51:K53)</f>
        <v>115.08</v>
      </c>
    </row>
    <row r="53" spans="1:11" x14ac:dyDescent="0.25">
      <c r="A53" s="32">
        <v>39052</v>
      </c>
      <c r="B53" s="33">
        <f>AVERAGE(Dados!B52:B54)</f>
        <v>119.01666666666665</v>
      </c>
      <c r="C53" s="33">
        <f>AVERAGE(Dados!C52:C54)</f>
        <v>113.63</v>
      </c>
      <c r="D53" s="33">
        <f>AVERAGE(Dados!D52:D54)</f>
        <v>114.92999999999999</v>
      </c>
      <c r="E53" s="33">
        <f>AVERAGE(Dados!E52:E54)</f>
        <v>113.82666666666665</v>
      </c>
      <c r="F53" s="33">
        <f>AVERAGE(Dados!F52:F54)</f>
        <v>118.95</v>
      </c>
      <c r="G53" s="33">
        <f>AVERAGE(Dados!G52:G54)</f>
        <v>108.10333333333334</v>
      </c>
      <c r="H53" s="33">
        <f>AVERAGE(Dados!H52:H54)</f>
        <v>114.62666666666667</v>
      </c>
      <c r="I53" s="33">
        <f>AVERAGE(Dados!I52:I54)</f>
        <v>111.58</v>
      </c>
      <c r="J53" s="33">
        <f>AVERAGE(Dados!J52:J54)</f>
        <v>113.16666666666667</v>
      </c>
      <c r="K53" s="33">
        <f>AVERAGE(Dados!K52:K54)</f>
        <v>114.75333333333333</v>
      </c>
    </row>
    <row r="54" spans="1:11" x14ac:dyDescent="0.25">
      <c r="A54" s="32">
        <v>39083</v>
      </c>
      <c r="B54" s="33">
        <f>AVERAGE(Dados!B53:B55)</f>
        <v>119.53000000000002</v>
      </c>
      <c r="C54" s="33">
        <f>AVERAGE(Dados!C53:C55)</f>
        <v>114.53666666666668</v>
      </c>
      <c r="D54" s="33">
        <f>AVERAGE(Dados!D53:D55)</f>
        <v>115.03333333333335</v>
      </c>
      <c r="E54" s="33">
        <f>AVERAGE(Dados!E53:E55)</f>
        <v>113.66666666666667</v>
      </c>
      <c r="F54" s="33">
        <f>AVERAGE(Dados!F53:F55)</f>
        <v>119.84666666666668</v>
      </c>
      <c r="G54" s="33">
        <f>AVERAGE(Dados!G53:G55)</f>
        <v>109.07666666666667</v>
      </c>
      <c r="H54" s="33">
        <f>AVERAGE(Dados!H53:H55)</f>
        <v>115.65333333333335</v>
      </c>
      <c r="I54" s="33">
        <f>AVERAGE(Dados!I53:I55)</f>
        <v>112.06666666666668</v>
      </c>
      <c r="J54" s="33">
        <f>AVERAGE(Dados!J53:J55)</f>
        <v>114.54666666666667</v>
      </c>
      <c r="K54" s="33">
        <f>AVERAGE(Dados!K53:K55)</f>
        <v>115.34333333333335</v>
      </c>
    </row>
    <row r="55" spans="1:11" x14ac:dyDescent="0.25">
      <c r="A55" s="32">
        <v>39114</v>
      </c>
      <c r="B55" s="33">
        <f>AVERAGE(Dados!B54:B56)</f>
        <v>119.96333333333332</v>
      </c>
      <c r="C55" s="33">
        <f>AVERAGE(Dados!C54:C56)</f>
        <v>115.29666666666667</v>
      </c>
      <c r="D55" s="33">
        <f>AVERAGE(Dados!D54:D56)</f>
        <v>115.39999999999999</v>
      </c>
      <c r="E55" s="33">
        <f>AVERAGE(Dados!E54:E56)</f>
        <v>113.98</v>
      </c>
      <c r="F55" s="33">
        <f>AVERAGE(Dados!F54:F56)</f>
        <v>121.21</v>
      </c>
      <c r="G55" s="33">
        <f>AVERAGE(Dados!G54:G56)</f>
        <v>111.79333333333334</v>
      </c>
      <c r="H55" s="33">
        <f>AVERAGE(Dados!H54:H56)</f>
        <v>117.88</v>
      </c>
      <c r="I55" s="33">
        <f>AVERAGE(Dados!I54:I56)</f>
        <v>112.64999999999999</v>
      </c>
      <c r="J55" s="33">
        <f>AVERAGE(Dados!J54:J56)</f>
        <v>115.53666666666668</v>
      </c>
      <c r="K55" s="33">
        <f>AVERAGE(Dados!K54:K56)</f>
        <v>115.65333333333332</v>
      </c>
    </row>
    <row r="56" spans="1:11" x14ac:dyDescent="0.25">
      <c r="A56" s="32">
        <v>39142</v>
      </c>
      <c r="B56" s="33">
        <f>AVERAGE(Dados!B55:B57)</f>
        <v>119.83999999999999</v>
      </c>
      <c r="C56" s="33">
        <f>AVERAGE(Dados!C55:C57)</f>
        <v>115.67666666666666</v>
      </c>
      <c r="D56" s="33">
        <f>AVERAGE(Dados!D55:D57)</f>
        <v>115.67666666666668</v>
      </c>
      <c r="E56" s="33">
        <f>AVERAGE(Dados!E55:E57)</f>
        <v>114.19333333333334</v>
      </c>
      <c r="F56" s="33">
        <f>AVERAGE(Dados!F55:F57)</f>
        <v>121.93666666666667</v>
      </c>
      <c r="G56" s="33">
        <f>AVERAGE(Dados!G55:G57)</f>
        <v>111.75</v>
      </c>
      <c r="H56" s="33">
        <f>AVERAGE(Dados!H55:H57)</f>
        <v>117.88999999999999</v>
      </c>
      <c r="I56" s="33">
        <f>AVERAGE(Dados!I55:I57)</f>
        <v>113.12666666666667</v>
      </c>
      <c r="J56" s="33">
        <f>AVERAGE(Dados!J55:J57)</f>
        <v>115.82666666666667</v>
      </c>
      <c r="K56" s="33">
        <f>AVERAGE(Dados!K55:K57)</f>
        <v>116.67999999999999</v>
      </c>
    </row>
    <row r="57" spans="1:11" x14ac:dyDescent="0.25">
      <c r="A57" s="32">
        <v>39173</v>
      </c>
      <c r="B57" s="33">
        <f>AVERAGE(Dados!B56:B58)</f>
        <v>120.39</v>
      </c>
      <c r="C57" s="33">
        <f>AVERAGE(Dados!C56:C58)</f>
        <v>116.05333333333334</v>
      </c>
      <c r="D57" s="33">
        <f>AVERAGE(Dados!D56:D58)</f>
        <v>116.65000000000002</v>
      </c>
      <c r="E57" s="33">
        <f>AVERAGE(Dados!E56:E58)</f>
        <v>114.26999999999998</v>
      </c>
      <c r="F57" s="33">
        <f>AVERAGE(Dados!F56:F58)</f>
        <v>123.05333333333334</v>
      </c>
      <c r="G57" s="33">
        <f>AVERAGE(Dados!G56:G58)</f>
        <v>111.60666666666667</v>
      </c>
      <c r="H57" s="33">
        <f>AVERAGE(Dados!H56:H58)</f>
        <v>118.76666666666667</v>
      </c>
      <c r="I57" s="33">
        <f>AVERAGE(Dados!I56:I58)</f>
        <v>113.63666666666667</v>
      </c>
      <c r="J57" s="33">
        <f>AVERAGE(Dados!J56:J58)</f>
        <v>116.38</v>
      </c>
      <c r="K57" s="33">
        <f>AVERAGE(Dados!K56:K58)</f>
        <v>116.72666666666667</v>
      </c>
    </row>
    <row r="58" spans="1:11" x14ac:dyDescent="0.25">
      <c r="A58" s="32">
        <v>39203</v>
      </c>
      <c r="B58" s="33">
        <f>AVERAGE(Dados!B57:B59)</f>
        <v>121.09666666666668</v>
      </c>
      <c r="C58" s="33">
        <f>AVERAGE(Dados!C57:C59)</f>
        <v>116.67666666666668</v>
      </c>
      <c r="D58" s="33">
        <f>AVERAGE(Dados!D57:D59)</f>
        <v>117.54666666666668</v>
      </c>
      <c r="E58" s="33">
        <f>AVERAGE(Dados!E57:E59)</f>
        <v>114.42</v>
      </c>
      <c r="F58" s="33">
        <f>AVERAGE(Dados!F57:F59)</f>
        <v>123.67666666666666</v>
      </c>
      <c r="G58" s="33">
        <f>AVERAGE(Dados!G57:G59)</f>
        <v>110.92</v>
      </c>
      <c r="H58" s="33">
        <f>AVERAGE(Dados!H57:H59)</f>
        <v>118.60333333333334</v>
      </c>
      <c r="I58" s="33">
        <f>AVERAGE(Dados!I57:I59)</f>
        <v>113.7</v>
      </c>
      <c r="J58" s="33">
        <f>AVERAGE(Dados!J57:J59)</f>
        <v>117.07000000000001</v>
      </c>
      <c r="K58" s="33">
        <f>AVERAGE(Dados!K57:K59)</f>
        <v>117.50666666666666</v>
      </c>
    </row>
    <row r="59" spans="1:11" x14ac:dyDescent="0.25">
      <c r="A59" s="32">
        <v>39234</v>
      </c>
      <c r="B59" s="33">
        <f>AVERAGE(Dados!B58:B60)</f>
        <v>122.32333333333334</v>
      </c>
      <c r="C59" s="33">
        <f>AVERAGE(Dados!C58:C60)</f>
        <v>116.65333333333335</v>
      </c>
      <c r="D59" s="33">
        <f>AVERAGE(Dados!D58:D60)</f>
        <v>118.65333333333335</v>
      </c>
      <c r="E59" s="33">
        <f>AVERAGE(Dados!E58:E60)</f>
        <v>114.74000000000001</v>
      </c>
      <c r="F59" s="33">
        <f>AVERAGE(Dados!F58:F60)</f>
        <v>124.76666666666665</v>
      </c>
      <c r="G59" s="33">
        <f>AVERAGE(Dados!G58:G60)</f>
        <v>111.77666666666666</v>
      </c>
      <c r="H59" s="33">
        <f>AVERAGE(Dados!H58:H60)</f>
        <v>119.74333333333334</v>
      </c>
      <c r="I59" s="33">
        <f>AVERAGE(Dados!I58:I60)</f>
        <v>113.79333333333334</v>
      </c>
      <c r="J59" s="33">
        <f>AVERAGE(Dados!J58:J60)</f>
        <v>118.03333333333332</v>
      </c>
      <c r="K59" s="33">
        <f>AVERAGE(Dados!K58:K60)</f>
        <v>117.86</v>
      </c>
    </row>
    <row r="60" spans="1:11" x14ac:dyDescent="0.25">
      <c r="A60" s="32">
        <v>39264</v>
      </c>
      <c r="B60" s="33">
        <f>AVERAGE(Dados!B59:B61)</f>
        <v>123.28666666666668</v>
      </c>
      <c r="C60" s="33">
        <f>AVERAGE(Dados!C59:C61)</f>
        <v>116.87</v>
      </c>
      <c r="D60" s="33">
        <f>AVERAGE(Dados!D59:D61)</f>
        <v>119.05000000000001</v>
      </c>
      <c r="E60" s="33">
        <f>AVERAGE(Dados!E59:E61)</f>
        <v>114.74333333333334</v>
      </c>
      <c r="F60" s="33">
        <f>AVERAGE(Dados!F59:F61)</f>
        <v>125.60333333333334</v>
      </c>
      <c r="G60" s="33">
        <f>AVERAGE(Dados!G59:G61)</f>
        <v>112.52999999999999</v>
      </c>
      <c r="H60" s="33">
        <f>AVERAGE(Dados!H59:H61)</f>
        <v>119.97333333333334</v>
      </c>
      <c r="I60" s="33">
        <f>AVERAGE(Dados!I59:I61)</f>
        <v>113.71333333333332</v>
      </c>
      <c r="J60" s="33">
        <f>AVERAGE(Dados!J59:J61)</f>
        <v>118.58333333333333</v>
      </c>
      <c r="K60" s="33">
        <f>AVERAGE(Dados!K59:K61)</f>
        <v>118.24333333333334</v>
      </c>
    </row>
    <row r="61" spans="1:11" x14ac:dyDescent="0.25">
      <c r="A61" s="32">
        <v>39295</v>
      </c>
      <c r="B61" s="33">
        <f>AVERAGE(Dados!B60:B62)</f>
        <v>123.97333333333334</v>
      </c>
      <c r="C61" s="33">
        <f>AVERAGE(Dados!C60:C62)</f>
        <v>117.68666666666667</v>
      </c>
      <c r="D61" s="33">
        <f>AVERAGE(Dados!D60:D62)</f>
        <v>119.18666666666667</v>
      </c>
      <c r="E61" s="33">
        <f>AVERAGE(Dados!E60:E62)</f>
        <v>114.7</v>
      </c>
      <c r="F61" s="33">
        <f>AVERAGE(Dados!F60:F62)</f>
        <v>126.73333333333333</v>
      </c>
      <c r="G61" s="33">
        <f>AVERAGE(Dados!G60:G62)</f>
        <v>112.51333333333332</v>
      </c>
      <c r="H61" s="33">
        <f>AVERAGE(Dados!H60:H62)</f>
        <v>120.49000000000001</v>
      </c>
      <c r="I61" s="33">
        <f>AVERAGE(Dados!I60:I62)</f>
        <v>114.10666666666667</v>
      </c>
      <c r="J61" s="33">
        <f>AVERAGE(Dados!J60:J62)</f>
        <v>119.33666666666666</v>
      </c>
      <c r="K61" s="33">
        <f>AVERAGE(Dados!K60:K62)</f>
        <v>118.27333333333333</v>
      </c>
    </row>
    <row r="62" spans="1:11" x14ac:dyDescent="0.25">
      <c r="A62" s="32">
        <v>39326</v>
      </c>
      <c r="B62" s="33">
        <f>AVERAGE(Dados!B61:B63)</f>
        <v>124.57666666666665</v>
      </c>
      <c r="C62" s="33">
        <f>AVERAGE(Dados!C61:C63)</f>
        <v>118.87</v>
      </c>
      <c r="D62" s="33">
        <f>AVERAGE(Dados!D61:D63)</f>
        <v>119.31333333333333</v>
      </c>
      <c r="E62" s="33">
        <f>AVERAGE(Dados!E61:E63)</f>
        <v>115.31</v>
      </c>
      <c r="F62" s="33">
        <f>AVERAGE(Dados!F61:F63)</f>
        <v>127.65333333333335</v>
      </c>
      <c r="G62" s="33">
        <f>AVERAGE(Dados!G61:G63)</f>
        <v>113.27333333333333</v>
      </c>
      <c r="H62" s="33">
        <f>AVERAGE(Dados!H61:H63)</f>
        <v>121.21333333333332</v>
      </c>
      <c r="I62" s="33">
        <f>AVERAGE(Dados!I61:I63)</f>
        <v>114.04666666666667</v>
      </c>
      <c r="J62" s="33">
        <f>AVERAGE(Dados!J61:J63)</f>
        <v>119.40333333333335</v>
      </c>
      <c r="K62" s="33">
        <f>AVERAGE(Dados!K61:K63)</f>
        <v>118.62666666666667</v>
      </c>
    </row>
    <row r="63" spans="1:11" x14ac:dyDescent="0.25">
      <c r="A63" s="32">
        <v>39356</v>
      </c>
      <c r="B63" s="33">
        <f>AVERAGE(Dados!B62:B64)</f>
        <v>125.21</v>
      </c>
      <c r="C63" s="33">
        <f>AVERAGE(Dados!C62:C64)</f>
        <v>120.15666666666665</v>
      </c>
      <c r="D63" s="33">
        <f>AVERAGE(Dados!D62:D64)</f>
        <v>120.05666666666666</v>
      </c>
      <c r="E63" s="33">
        <f>AVERAGE(Dados!E62:E64)</f>
        <v>118.16000000000001</v>
      </c>
      <c r="F63" s="33">
        <f>AVERAGE(Dados!F62:F64)</f>
        <v>129.04333333333332</v>
      </c>
      <c r="G63" s="33">
        <f>AVERAGE(Dados!G62:G64)</f>
        <v>113.69333333333333</v>
      </c>
      <c r="H63" s="33">
        <f>AVERAGE(Dados!H62:H64)</f>
        <v>122.17999999999999</v>
      </c>
      <c r="I63" s="33">
        <f>AVERAGE(Dados!I62:I64)</f>
        <v>114.46999999999998</v>
      </c>
      <c r="J63" s="33">
        <f>AVERAGE(Dados!J62:J64)</f>
        <v>120.3</v>
      </c>
      <c r="K63" s="33">
        <f>AVERAGE(Dados!K62:K64)</f>
        <v>119.81333333333335</v>
      </c>
    </row>
    <row r="64" spans="1:11" x14ac:dyDescent="0.25">
      <c r="A64" s="32">
        <v>39387</v>
      </c>
      <c r="B64" s="33">
        <f>AVERAGE(Dados!B63:B65)</f>
        <v>125.81333333333333</v>
      </c>
      <c r="C64" s="33">
        <f>AVERAGE(Dados!C63:C65)</f>
        <v>121.09333333333332</v>
      </c>
      <c r="D64" s="33">
        <f>AVERAGE(Dados!D63:D65)</f>
        <v>121.04333333333334</v>
      </c>
      <c r="E64" s="33">
        <f>AVERAGE(Dados!E63:E65)</f>
        <v>119.32666666666667</v>
      </c>
      <c r="F64" s="33">
        <f>AVERAGE(Dados!F63:F65)</f>
        <v>129.92999999999998</v>
      </c>
      <c r="G64" s="33">
        <f>AVERAGE(Dados!G63:G65)</f>
        <v>114.90333333333335</v>
      </c>
      <c r="H64" s="33">
        <f>AVERAGE(Dados!H63:H65)</f>
        <v>122.91000000000001</v>
      </c>
      <c r="I64" s="33">
        <f>AVERAGE(Dados!I63:I65)</f>
        <v>114.76333333333334</v>
      </c>
      <c r="J64" s="33">
        <f>AVERAGE(Dados!J63:J65)</f>
        <v>120.70666666666666</v>
      </c>
      <c r="K64" s="33">
        <f>AVERAGE(Dados!K63:K65)</f>
        <v>121.06333333333333</v>
      </c>
    </row>
    <row r="65" spans="1:11" x14ac:dyDescent="0.25">
      <c r="A65" s="32">
        <v>39417</v>
      </c>
      <c r="B65" s="33">
        <f>AVERAGE(Dados!B64:B66)</f>
        <v>126.41000000000001</v>
      </c>
      <c r="C65" s="33">
        <f>AVERAGE(Dados!C64:C66)</f>
        <v>122.28000000000002</v>
      </c>
      <c r="D65" s="33">
        <f>AVERAGE(Dados!D64:D66)</f>
        <v>122.76333333333334</v>
      </c>
      <c r="E65" s="33">
        <f>AVERAGE(Dados!E64:E66)</f>
        <v>120.14666666666666</v>
      </c>
      <c r="F65" s="33">
        <f>AVERAGE(Dados!F64:F66)</f>
        <v>130.63666666666666</v>
      </c>
      <c r="G65" s="33">
        <f>AVERAGE(Dados!G64:G66)</f>
        <v>115.90333333333332</v>
      </c>
      <c r="H65" s="33">
        <f>AVERAGE(Dados!H64:H66)</f>
        <v>123.24666666666667</v>
      </c>
      <c r="I65" s="33">
        <f>AVERAGE(Dados!I64:I66)</f>
        <v>115.54333333333334</v>
      </c>
      <c r="J65" s="33">
        <f>AVERAGE(Dados!J64:J66)</f>
        <v>121.94333333333334</v>
      </c>
      <c r="K65" s="33">
        <f>AVERAGE(Dados!K64:K66)</f>
        <v>122.27333333333333</v>
      </c>
    </row>
    <row r="66" spans="1:11" x14ac:dyDescent="0.25">
      <c r="A66" s="32">
        <v>39448</v>
      </c>
      <c r="B66" s="33">
        <f>AVERAGE(Dados!B65:B67)</f>
        <v>126.77333333333333</v>
      </c>
      <c r="C66" s="33">
        <f>AVERAGE(Dados!C65:C67)</f>
        <v>123.01999999999998</v>
      </c>
      <c r="D66" s="33">
        <f>AVERAGE(Dados!D65:D67)</f>
        <v>123.62666666666667</v>
      </c>
      <c r="E66" s="33">
        <f>AVERAGE(Dados!E65:E67)</f>
        <v>118.58666666666666</v>
      </c>
      <c r="F66" s="33">
        <f>AVERAGE(Dados!F65:F67)</f>
        <v>131.15666666666667</v>
      </c>
      <c r="G66" s="33">
        <f>AVERAGE(Dados!G65:G67)</f>
        <v>116.79666666666667</v>
      </c>
      <c r="H66" s="33">
        <f>AVERAGE(Dados!H65:H67)</f>
        <v>122.99000000000001</v>
      </c>
      <c r="I66" s="33">
        <f>AVERAGE(Dados!I65:I67)</f>
        <v>116.12666666666667</v>
      </c>
      <c r="J66" s="33">
        <f>AVERAGE(Dados!J65:J67)</f>
        <v>122.64999999999999</v>
      </c>
      <c r="K66" s="33">
        <f>AVERAGE(Dados!K65:K67)</f>
        <v>123.05333333333334</v>
      </c>
    </row>
    <row r="67" spans="1:11" x14ac:dyDescent="0.25">
      <c r="A67" s="32">
        <v>39479</v>
      </c>
      <c r="B67" s="33">
        <f>AVERAGE(Dados!B66:B68)</f>
        <v>126.91333333333334</v>
      </c>
      <c r="C67" s="33">
        <f>AVERAGE(Dados!C66:C68)</f>
        <v>122.39999999999999</v>
      </c>
      <c r="D67" s="33">
        <f>AVERAGE(Dados!D66:D68)</f>
        <v>124.45333333333333</v>
      </c>
      <c r="E67" s="33">
        <f>AVERAGE(Dados!E66:E68)</f>
        <v>119.02</v>
      </c>
      <c r="F67" s="33">
        <f>AVERAGE(Dados!F66:F68)</f>
        <v>131.12666666666664</v>
      </c>
      <c r="G67" s="33">
        <f>AVERAGE(Dados!G66:G68)</f>
        <v>117.19666666666667</v>
      </c>
      <c r="H67" s="33">
        <f>AVERAGE(Dados!H66:H68)</f>
        <v>122.69</v>
      </c>
      <c r="I67" s="33">
        <f>AVERAGE(Dados!I66:I68)</f>
        <v>115.86000000000001</v>
      </c>
      <c r="J67" s="33">
        <f>AVERAGE(Dados!J66:J68)</f>
        <v>122.62</v>
      </c>
      <c r="K67" s="33">
        <f>AVERAGE(Dados!K66:K68)</f>
        <v>124.37333333333333</v>
      </c>
    </row>
    <row r="68" spans="1:11" x14ac:dyDescent="0.25">
      <c r="A68" s="32">
        <v>39508</v>
      </c>
      <c r="B68" s="33">
        <f>AVERAGE(Dados!B67:B69)</f>
        <v>126.83</v>
      </c>
      <c r="C68" s="33">
        <f>AVERAGE(Dados!C67:C69)</f>
        <v>122.53333333333335</v>
      </c>
      <c r="D68" s="33">
        <f>AVERAGE(Dados!D67:D69)</f>
        <v>124.69333333333333</v>
      </c>
      <c r="E68" s="33">
        <f>AVERAGE(Dados!E67:E69)</f>
        <v>119.73666666666668</v>
      </c>
      <c r="F68" s="33">
        <f>AVERAGE(Dados!F67:F69)</f>
        <v>132.16</v>
      </c>
      <c r="G68" s="33">
        <f>AVERAGE(Dados!G67:G69)</f>
        <v>117.87333333333333</v>
      </c>
      <c r="H68" s="33">
        <f>AVERAGE(Dados!H67:H69)</f>
        <v>123.03000000000002</v>
      </c>
      <c r="I68" s="33">
        <f>AVERAGE(Dados!I67:I69)</f>
        <v>116.14</v>
      </c>
      <c r="J68" s="33">
        <f>AVERAGE(Dados!J67:J69)</f>
        <v>122.89666666666666</v>
      </c>
      <c r="K68" s="33">
        <f>AVERAGE(Dados!K67:K69)</f>
        <v>124.85666666666667</v>
      </c>
    </row>
    <row r="69" spans="1:11" x14ac:dyDescent="0.25">
      <c r="A69" s="32">
        <v>39539</v>
      </c>
      <c r="B69" s="33">
        <f>AVERAGE(Dados!B68:B70)</f>
        <v>127.02333333333333</v>
      </c>
      <c r="C69" s="33">
        <f>AVERAGE(Dados!C68:C70)</f>
        <v>122.91333333333334</v>
      </c>
      <c r="D69" s="33">
        <f>AVERAGE(Dados!D68:D70)</f>
        <v>124.63</v>
      </c>
      <c r="E69" s="33">
        <f>AVERAGE(Dados!E68:E70)</f>
        <v>120.54666666666667</v>
      </c>
      <c r="F69" s="33">
        <f>AVERAGE(Dados!F68:F70)</f>
        <v>132.86000000000001</v>
      </c>
      <c r="G69" s="33">
        <f>AVERAGE(Dados!G68:G70)</f>
        <v>114.20333333333333</v>
      </c>
      <c r="H69" s="33">
        <f>AVERAGE(Dados!H68:H70)</f>
        <v>123.92333333333335</v>
      </c>
      <c r="I69" s="33">
        <f>AVERAGE(Dados!I68:I70)</f>
        <v>116.17333333333333</v>
      </c>
      <c r="J69" s="33">
        <f>AVERAGE(Dados!J68:J70)</f>
        <v>123.24666666666667</v>
      </c>
      <c r="K69" s="33">
        <f>AVERAGE(Dados!K68:K70)</f>
        <v>125.11</v>
      </c>
    </row>
    <row r="70" spans="1:11" x14ac:dyDescent="0.25">
      <c r="A70" s="32">
        <v>39569</v>
      </c>
      <c r="B70" s="33">
        <f>AVERAGE(Dados!B69:B71)</f>
        <v>128.02000000000001</v>
      </c>
      <c r="C70" s="33">
        <f>AVERAGE(Dados!C69:C71)</f>
        <v>124.31333333333333</v>
      </c>
      <c r="D70" s="33">
        <f>AVERAGE(Dados!D69:D71)</f>
        <v>124.68</v>
      </c>
      <c r="E70" s="33">
        <f>AVERAGE(Dados!E69:E71)</f>
        <v>121.79</v>
      </c>
      <c r="F70" s="33">
        <f>AVERAGE(Dados!F69:F71)</f>
        <v>134.19</v>
      </c>
      <c r="G70" s="33">
        <f>AVERAGE(Dados!G69:G71)</f>
        <v>113.62666666666667</v>
      </c>
      <c r="H70" s="33">
        <f>AVERAGE(Dados!H69:H71)</f>
        <v>124.42999999999999</v>
      </c>
      <c r="I70" s="33">
        <f>AVERAGE(Dados!I69:I71)</f>
        <v>117.30333333333333</v>
      </c>
      <c r="J70" s="33">
        <f>AVERAGE(Dados!J69:J71)</f>
        <v>124.48333333333333</v>
      </c>
      <c r="K70" s="33">
        <f>AVERAGE(Dados!K69:K71)</f>
        <v>124.78666666666668</v>
      </c>
    </row>
    <row r="71" spans="1:11" x14ac:dyDescent="0.25">
      <c r="A71" s="32">
        <v>39600</v>
      </c>
      <c r="B71" s="33">
        <f>AVERAGE(Dados!B70:B72)</f>
        <v>129.44</v>
      </c>
      <c r="C71" s="33">
        <f>AVERAGE(Dados!C70:C72)</f>
        <v>125.60000000000001</v>
      </c>
      <c r="D71" s="33">
        <f>AVERAGE(Dados!D70:D72)</f>
        <v>124.71999999999998</v>
      </c>
      <c r="E71" s="33">
        <f>AVERAGE(Dados!E70:E72)</f>
        <v>123.46666666666665</v>
      </c>
      <c r="F71" s="33">
        <f>AVERAGE(Dados!F70:F72)</f>
        <v>135.34</v>
      </c>
      <c r="G71" s="33">
        <f>AVERAGE(Dados!G70:G72)</f>
        <v>114.39333333333333</v>
      </c>
      <c r="H71" s="33">
        <f>AVERAGE(Dados!H70:H72)</f>
        <v>125.57333333333332</v>
      </c>
      <c r="I71" s="33">
        <f>AVERAGE(Dados!I70:I72)</f>
        <v>118.12</v>
      </c>
      <c r="J71" s="33">
        <f>AVERAGE(Dados!J70:J72)</f>
        <v>125.88</v>
      </c>
      <c r="K71" s="33">
        <f>AVERAGE(Dados!K70:K72)</f>
        <v>125.33</v>
      </c>
    </row>
    <row r="72" spans="1:11" x14ac:dyDescent="0.25">
      <c r="A72" s="32">
        <v>39630</v>
      </c>
      <c r="B72" s="33">
        <f>AVERAGE(Dados!B71:B73)</f>
        <v>130.44999999999999</v>
      </c>
      <c r="C72" s="33">
        <f>AVERAGE(Dados!C71:C73)</f>
        <v>126.58333333333333</v>
      </c>
      <c r="D72" s="33">
        <f>AVERAGE(Dados!D71:D73)</f>
        <v>125.3</v>
      </c>
      <c r="E72" s="33">
        <f>AVERAGE(Dados!E71:E73)</f>
        <v>125.21</v>
      </c>
      <c r="F72" s="33">
        <f>AVERAGE(Dados!F71:F73)</f>
        <v>136.20000000000002</v>
      </c>
      <c r="G72" s="33">
        <f>AVERAGE(Dados!G71:G73)</f>
        <v>118.35666666666667</v>
      </c>
      <c r="H72" s="33">
        <f>AVERAGE(Dados!H71:H73)</f>
        <v>126.22333333333334</v>
      </c>
      <c r="I72" s="33">
        <f>AVERAGE(Dados!I71:I73)</f>
        <v>118.90666666666665</v>
      </c>
      <c r="J72" s="33">
        <f>AVERAGE(Dados!J71:J73)</f>
        <v>126.92333333333333</v>
      </c>
      <c r="K72" s="33">
        <f>AVERAGE(Dados!K71:K73)</f>
        <v>125.77</v>
      </c>
    </row>
    <row r="73" spans="1:11" x14ac:dyDescent="0.25">
      <c r="A73" s="32">
        <v>39661</v>
      </c>
      <c r="B73" s="33">
        <f>AVERAGE(Dados!B72:B74)</f>
        <v>130.95666666666668</v>
      </c>
      <c r="C73" s="33">
        <f>AVERAGE(Dados!C72:C74)</f>
        <v>127.06</v>
      </c>
      <c r="D73" s="33">
        <f>AVERAGE(Dados!D72:D74)</f>
        <v>125.94666666666666</v>
      </c>
      <c r="E73" s="33">
        <f>AVERAGE(Dados!E72:E74)</f>
        <v>126.69666666666667</v>
      </c>
      <c r="F73" s="33">
        <f>AVERAGE(Dados!F72:F74)</f>
        <v>136.64333333333332</v>
      </c>
      <c r="G73" s="33">
        <f>AVERAGE(Dados!G72:G74)</f>
        <v>118.99666666666667</v>
      </c>
      <c r="H73" s="33">
        <f>AVERAGE(Dados!H72:H74)</f>
        <v>127.45666666666666</v>
      </c>
      <c r="I73" s="33">
        <f>AVERAGE(Dados!I72:I74)</f>
        <v>119.40666666666665</v>
      </c>
      <c r="J73" s="33">
        <f>AVERAGE(Dados!J72:J74)</f>
        <v>127.88666666666666</v>
      </c>
      <c r="K73" s="33">
        <f>AVERAGE(Dados!K72:K74)</f>
        <v>125.99666666666667</v>
      </c>
    </row>
    <row r="74" spans="1:11" x14ac:dyDescent="0.25">
      <c r="A74" s="32">
        <v>39692</v>
      </c>
      <c r="B74" s="33">
        <f>AVERAGE(Dados!B73:B75)</f>
        <v>130.84333333333333</v>
      </c>
      <c r="C74" s="33">
        <f>AVERAGE(Dados!C73:C75)</f>
        <v>126.82</v>
      </c>
      <c r="D74" s="33">
        <f>AVERAGE(Dados!D73:D75)</f>
        <v>126.69999999999999</v>
      </c>
      <c r="E74" s="33">
        <f>AVERAGE(Dados!E73:E75)</f>
        <v>126.71333333333332</v>
      </c>
      <c r="F74" s="33">
        <f>AVERAGE(Dados!F73:F75)</f>
        <v>136.66999999999999</v>
      </c>
      <c r="G74" s="33">
        <f>AVERAGE(Dados!G73:G75)</f>
        <v>119.26</v>
      </c>
      <c r="H74" s="33">
        <f>AVERAGE(Dados!H73:H75)</f>
        <v>128.05666666666667</v>
      </c>
      <c r="I74" s="33">
        <f>AVERAGE(Dados!I73:I75)</f>
        <v>119.64333333333333</v>
      </c>
      <c r="J74" s="33">
        <f>AVERAGE(Dados!J73:J75)</f>
        <v>128.57000000000002</v>
      </c>
      <c r="K74" s="33">
        <f>AVERAGE(Dados!K73:K75)</f>
        <v>126.23666666666666</v>
      </c>
    </row>
    <row r="75" spans="1:11" x14ac:dyDescent="0.25">
      <c r="A75" s="32">
        <v>39722</v>
      </c>
      <c r="B75" s="33">
        <f>AVERAGE(Dados!B74:B76)</f>
        <v>129.94666666666666</v>
      </c>
      <c r="C75" s="33">
        <f>AVERAGE(Dados!C74:C76)</f>
        <v>126.26333333333332</v>
      </c>
      <c r="D75" s="33">
        <f>AVERAGE(Dados!D74:D76)</f>
        <v>126.96666666666665</v>
      </c>
      <c r="E75" s="33">
        <f>AVERAGE(Dados!E74:E76)</f>
        <v>127.90666666666668</v>
      </c>
      <c r="F75" s="33">
        <f>AVERAGE(Dados!F74:F76)</f>
        <v>136.11333333333334</v>
      </c>
      <c r="G75" s="33">
        <f>AVERAGE(Dados!G74:G76)</f>
        <v>119.48666666666668</v>
      </c>
      <c r="H75" s="33">
        <f>AVERAGE(Dados!H74:H76)</f>
        <v>127.56333333333333</v>
      </c>
      <c r="I75" s="33">
        <f>AVERAGE(Dados!I74:I76)</f>
        <v>119.85666666666667</v>
      </c>
      <c r="J75" s="33">
        <f>AVERAGE(Dados!J74:J76)</f>
        <v>128.5633333333333</v>
      </c>
      <c r="K75" s="33">
        <f>AVERAGE(Dados!K74:K76)</f>
        <v>125.64666666666666</v>
      </c>
    </row>
    <row r="76" spans="1:11" x14ac:dyDescent="0.25">
      <c r="A76" s="32">
        <v>39753</v>
      </c>
      <c r="B76" s="33">
        <f>AVERAGE(Dados!B75:B77)</f>
        <v>127.89999999999998</v>
      </c>
      <c r="C76" s="33">
        <f>AVERAGE(Dados!C75:C77)</f>
        <v>124.56666666666666</v>
      </c>
      <c r="D76" s="33">
        <f>AVERAGE(Dados!D75:D77)</f>
        <v>126.73666666666668</v>
      </c>
      <c r="E76" s="33">
        <f>AVERAGE(Dados!E75:E77)</f>
        <v>125.70333333333333</v>
      </c>
      <c r="F76" s="33">
        <f>AVERAGE(Dados!F75:F77)</f>
        <v>135.33000000000001</v>
      </c>
      <c r="G76" s="33">
        <f>AVERAGE(Dados!G75:G77)</f>
        <v>118.81666666666668</v>
      </c>
      <c r="H76" s="33">
        <f>AVERAGE(Dados!H75:H77)</f>
        <v>126.01666666666665</v>
      </c>
      <c r="I76" s="33">
        <f>AVERAGE(Dados!I75:I77)</f>
        <v>119.64333333333333</v>
      </c>
      <c r="J76" s="33">
        <f>AVERAGE(Dados!J75:J77)</f>
        <v>128.15333333333334</v>
      </c>
      <c r="K76" s="33">
        <f>AVERAGE(Dados!K75:K77)</f>
        <v>125.19</v>
      </c>
    </row>
    <row r="77" spans="1:11" x14ac:dyDescent="0.25">
      <c r="A77" s="32">
        <v>39783</v>
      </c>
      <c r="B77" s="33">
        <f>AVERAGE(Dados!B76:B78)</f>
        <v>124.68333333333334</v>
      </c>
      <c r="C77" s="33">
        <f>AVERAGE(Dados!C76:C78)</f>
        <v>121.71</v>
      </c>
      <c r="D77" s="33">
        <f>AVERAGE(Dados!D76:D78)</f>
        <v>125.86666666666667</v>
      </c>
      <c r="E77" s="33">
        <f>AVERAGE(Dados!E76:E78)</f>
        <v>123.79</v>
      </c>
      <c r="F77" s="33">
        <f>AVERAGE(Dados!F76:F78)</f>
        <v>132.16</v>
      </c>
      <c r="G77" s="33">
        <f>AVERAGE(Dados!G76:G78)</f>
        <v>115.49666666666667</v>
      </c>
      <c r="H77" s="33">
        <f>AVERAGE(Dados!H76:H78)</f>
        <v>122.86000000000001</v>
      </c>
      <c r="I77" s="33">
        <f>AVERAGE(Dados!I76:I78)</f>
        <v>118.71999999999998</v>
      </c>
      <c r="J77" s="33">
        <f>AVERAGE(Dados!J76:J78)</f>
        <v>125.09333333333332</v>
      </c>
      <c r="K77" s="33">
        <f>AVERAGE(Dados!K76:K78)</f>
        <v>124.08</v>
      </c>
    </row>
    <row r="78" spans="1:11" x14ac:dyDescent="0.25">
      <c r="A78" s="32">
        <v>39814</v>
      </c>
      <c r="B78" s="33">
        <f>AVERAGE(Dados!B77:B79)</f>
        <v>122.26333333333334</v>
      </c>
      <c r="C78" s="33">
        <f>AVERAGE(Dados!C77:C79)</f>
        <v>118.74666666666667</v>
      </c>
      <c r="D78" s="33">
        <f>AVERAGE(Dados!D77:D79)</f>
        <v>126.08333333333333</v>
      </c>
      <c r="E78" s="33">
        <f>AVERAGE(Dados!E77:E79)</f>
        <v>120.8</v>
      </c>
      <c r="F78" s="33">
        <f>AVERAGE(Dados!F77:F79)</f>
        <v>130.46</v>
      </c>
      <c r="G78" s="33">
        <f>AVERAGE(Dados!G77:G79)</f>
        <v>113.77333333333333</v>
      </c>
      <c r="H78" s="33">
        <f>AVERAGE(Dados!H77:H79)</f>
        <v>121.97666666666667</v>
      </c>
      <c r="I78" s="33">
        <f>AVERAGE(Dados!I77:I79)</f>
        <v>118.44</v>
      </c>
      <c r="J78" s="33">
        <f>AVERAGE(Dados!J77:J79)</f>
        <v>122.90666666666668</v>
      </c>
      <c r="K78" s="33">
        <f>AVERAGE(Dados!K77:K79)</f>
        <v>122.78000000000002</v>
      </c>
    </row>
    <row r="79" spans="1:11" x14ac:dyDescent="0.25">
      <c r="A79" s="32">
        <v>39845</v>
      </c>
      <c r="B79" s="33">
        <f>AVERAGE(Dados!B78:B80)</f>
        <v>121.34999999999998</v>
      </c>
      <c r="C79" s="33">
        <f>AVERAGE(Dados!C78:C80)</f>
        <v>118.10000000000001</v>
      </c>
      <c r="D79" s="33">
        <f>AVERAGE(Dados!D78:D80)</f>
        <v>126.04</v>
      </c>
      <c r="E79" s="33">
        <f>AVERAGE(Dados!E78:E80)</f>
        <v>121.00999999999999</v>
      </c>
      <c r="F79" s="33">
        <f>AVERAGE(Dados!F78:F80)</f>
        <v>129.69333333333333</v>
      </c>
      <c r="G79" s="33">
        <f>AVERAGE(Dados!G78:G80)</f>
        <v>113.73333333333335</v>
      </c>
      <c r="H79" s="33">
        <f>AVERAGE(Dados!H78:H80)</f>
        <v>122.20333333333333</v>
      </c>
      <c r="I79" s="33">
        <f>AVERAGE(Dados!I78:I80)</f>
        <v>118.76333333333332</v>
      </c>
      <c r="J79" s="33">
        <f>AVERAGE(Dados!J78:J80)</f>
        <v>121.35333333333334</v>
      </c>
      <c r="K79" s="33">
        <f>AVERAGE(Dados!K78:K80)</f>
        <v>122.43333333333334</v>
      </c>
    </row>
    <row r="80" spans="1:11" x14ac:dyDescent="0.25">
      <c r="A80" s="32">
        <v>39873</v>
      </c>
      <c r="B80" s="33">
        <f>AVERAGE(Dados!B79:B81)</f>
        <v>122.10666666666667</v>
      </c>
      <c r="C80" s="33">
        <f>AVERAGE(Dados!C79:C81)</f>
        <v>118.89333333333333</v>
      </c>
      <c r="D80" s="33">
        <f>AVERAGE(Dados!D79:D81)</f>
        <v>126.48333333333333</v>
      </c>
      <c r="E80" s="33">
        <f>AVERAGE(Dados!E79:E81)</f>
        <v>121.36666666666667</v>
      </c>
      <c r="F80" s="33">
        <f>AVERAGE(Dados!F79:F81)</f>
        <v>130.77666666666667</v>
      </c>
      <c r="G80" s="33">
        <f>AVERAGE(Dados!G79:G81)</f>
        <v>115.02666666666669</v>
      </c>
      <c r="H80" s="33">
        <f>AVERAGE(Dados!H79:H81)</f>
        <v>123.21999999999998</v>
      </c>
      <c r="I80" s="33">
        <f>AVERAGE(Dados!I79:I81)</f>
        <v>119.98333333333333</v>
      </c>
      <c r="J80" s="33">
        <f>AVERAGE(Dados!J79:J81)</f>
        <v>121.51</v>
      </c>
      <c r="K80" s="33">
        <f>AVERAGE(Dados!K79:K81)</f>
        <v>122.45666666666666</v>
      </c>
    </row>
    <row r="81" spans="1:11" x14ac:dyDescent="0.25">
      <c r="A81" s="32">
        <v>39904</v>
      </c>
      <c r="B81" s="33">
        <f>AVERAGE(Dados!B80:B82)</f>
        <v>123.02999999999999</v>
      </c>
      <c r="C81" s="33">
        <f>AVERAGE(Dados!C80:C82)</f>
        <v>120.08</v>
      </c>
      <c r="D81" s="33">
        <f>AVERAGE(Dados!D80:D82)</f>
        <v>126.66333333333334</v>
      </c>
      <c r="E81" s="33">
        <f>AVERAGE(Dados!E80:E82)</f>
        <v>122.05333333333333</v>
      </c>
      <c r="F81" s="33">
        <f>AVERAGE(Dados!F80:F82)</f>
        <v>131.45333333333335</v>
      </c>
      <c r="G81" s="33">
        <f>AVERAGE(Dados!G80:G82)</f>
        <v>116.62</v>
      </c>
      <c r="H81" s="33">
        <f>AVERAGE(Dados!H80:H82)</f>
        <v>123.49333333333334</v>
      </c>
      <c r="I81" s="33">
        <f>AVERAGE(Dados!I80:I82)</f>
        <v>120.61666666666667</v>
      </c>
      <c r="J81" s="33">
        <f>AVERAGE(Dados!J80:J82)</f>
        <v>121.67666666666668</v>
      </c>
      <c r="K81" s="33">
        <f>AVERAGE(Dados!K80:K82)</f>
        <v>122.75666666666666</v>
      </c>
    </row>
    <row r="82" spans="1:11" x14ac:dyDescent="0.25">
      <c r="A82" s="32">
        <v>39934</v>
      </c>
      <c r="B82" s="33">
        <f>AVERAGE(Dados!B81:B83)</f>
        <v>123.92333333333333</v>
      </c>
      <c r="C82" s="33">
        <f>AVERAGE(Dados!C81:C83)</f>
        <v>120.33999999999999</v>
      </c>
      <c r="D82" s="33">
        <f>AVERAGE(Dados!D81:D83)</f>
        <v>127.27999999999999</v>
      </c>
      <c r="E82" s="33">
        <f>AVERAGE(Dados!E81:E83)</f>
        <v>122.29666666666667</v>
      </c>
      <c r="F82" s="33">
        <f>AVERAGE(Dados!F81:F83)</f>
        <v>132.26333333333335</v>
      </c>
      <c r="G82" s="33">
        <f>AVERAGE(Dados!G81:G83)</f>
        <v>116.95333333333333</v>
      </c>
      <c r="H82" s="33">
        <f>AVERAGE(Dados!H81:H83)</f>
        <v>123.91666666666667</v>
      </c>
      <c r="I82" s="33">
        <f>AVERAGE(Dados!I81:I83)</f>
        <v>121.31333333333333</v>
      </c>
      <c r="J82" s="33">
        <f>AVERAGE(Dados!J81:J83)</f>
        <v>121.85333333333334</v>
      </c>
      <c r="K82" s="33">
        <f>AVERAGE(Dados!K81:K83)</f>
        <v>122.27666666666666</v>
      </c>
    </row>
    <row r="83" spans="1:11" x14ac:dyDescent="0.25">
      <c r="A83" s="32">
        <v>39965</v>
      </c>
      <c r="B83" s="33">
        <f>AVERAGE(Dados!B82:B84)</f>
        <v>124.76</v>
      </c>
      <c r="C83" s="33">
        <f>AVERAGE(Dados!C82:C84)</f>
        <v>120.69</v>
      </c>
      <c r="D83" s="33">
        <f>AVERAGE(Dados!D82:D84)</f>
        <v>128.09</v>
      </c>
      <c r="E83" s="33">
        <f>AVERAGE(Dados!E82:E84)</f>
        <v>123.19333333333334</v>
      </c>
      <c r="F83" s="33">
        <f>AVERAGE(Dados!F82:F84)</f>
        <v>133.16666666666666</v>
      </c>
      <c r="G83" s="33">
        <f>AVERAGE(Dados!G82:G84)</f>
        <v>117.61666666666666</v>
      </c>
      <c r="H83" s="33">
        <f>AVERAGE(Dados!H82:H84)</f>
        <v>125.06</v>
      </c>
      <c r="I83" s="33">
        <f>AVERAGE(Dados!I82:I84)</f>
        <v>121.66333333333334</v>
      </c>
      <c r="J83" s="33">
        <f>AVERAGE(Dados!J82:J84)</f>
        <v>121.78333333333335</v>
      </c>
      <c r="K83" s="33">
        <f>AVERAGE(Dados!K82:K84)</f>
        <v>122.81666666666666</v>
      </c>
    </row>
    <row r="84" spans="1:11" x14ac:dyDescent="0.25">
      <c r="A84" s="32">
        <v>39995</v>
      </c>
      <c r="B84" s="33">
        <f>AVERAGE(Dados!B83:B85)</f>
        <v>125.64999999999999</v>
      </c>
      <c r="C84" s="33">
        <f>AVERAGE(Dados!C83:C85)</f>
        <v>121.02999999999999</v>
      </c>
      <c r="D84" s="33">
        <f>AVERAGE(Dados!D83:D85)</f>
        <v>128.64000000000001</v>
      </c>
      <c r="E84" s="33">
        <f>AVERAGE(Dados!E83:E85)</f>
        <v>124.17333333333333</v>
      </c>
      <c r="F84" s="33">
        <f>AVERAGE(Dados!F83:F85)</f>
        <v>133.52666666666667</v>
      </c>
      <c r="G84" s="33">
        <f>AVERAGE(Dados!G83:G85)</f>
        <v>117.39</v>
      </c>
      <c r="H84" s="33">
        <f>AVERAGE(Dados!H83:H85)</f>
        <v>125.93666666666667</v>
      </c>
      <c r="I84" s="33">
        <f>AVERAGE(Dados!I83:I85)</f>
        <v>122.20666666666666</v>
      </c>
      <c r="J84" s="33">
        <f>AVERAGE(Dados!J83:J85)</f>
        <v>121.90333333333335</v>
      </c>
      <c r="K84" s="33">
        <f>AVERAGE(Dados!K83:K85)</f>
        <v>123.46666666666665</v>
      </c>
    </row>
    <row r="85" spans="1:11" x14ac:dyDescent="0.25">
      <c r="A85" s="32">
        <v>40026</v>
      </c>
      <c r="B85" s="33">
        <f>AVERAGE(Dados!B84:B86)</f>
        <v>126.69</v>
      </c>
      <c r="C85" s="33">
        <f>AVERAGE(Dados!C84:C86)</f>
        <v>121.95666666666666</v>
      </c>
      <c r="D85" s="33">
        <f>AVERAGE(Dados!D84:D86)</f>
        <v>130.04999999999998</v>
      </c>
      <c r="E85" s="33">
        <f>AVERAGE(Dados!E84:E86)</f>
        <v>125.39666666666666</v>
      </c>
      <c r="F85" s="33">
        <f>AVERAGE(Dados!F84:F86)</f>
        <v>133.58666666666667</v>
      </c>
      <c r="G85" s="33">
        <f>AVERAGE(Dados!G84:G86)</f>
        <v>117.75999999999999</v>
      </c>
      <c r="H85" s="33">
        <f>AVERAGE(Dados!H84:H86)</f>
        <v>126.38666666666666</v>
      </c>
      <c r="I85" s="33">
        <f>AVERAGE(Dados!I84:I86)</f>
        <v>122.32666666666667</v>
      </c>
      <c r="J85" s="33">
        <f>AVERAGE(Dados!J84:J86)</f>
        <v>122.36000000000001</v>
      </c>
      <c r="K85" s="33">
        <f>AVERAGE(Dados!K84:K86)</f>
        <v>125.06666666666666</v>
      </c>
    </row>
    <row r="86" spans="1:11" x14ac:dyDescent="0.25">
      <c r="A86" s="32">
        <v>40057</v>
      </c>
      <c r="B86" s="33">
        <f>AVERAGE(Dados!B85:B87)</f>
        <v>127.79666666666667</v>
      </c>
      <c r="C86" s="33">
        <f>AVERAGE(Dados!C85:C87)</f>
        <v>123.3</v>
      </c>
      <c r="D86" s="33">
        <f>AVERAGE(Dados!D85:D87)</f>
        <v>131.40333333333334</v>
      </c>
      <c r="E86" s="33">
        <f>AVERAGE(Dados!E85:E87)</f>
        <v>126.45333333333333</v>
      </c>
      <c r="F86" s="33">
        <f>AVERAGE(Dados!F85:F87)</f>
        <v>134.52000000000001</v>
      </c>
      <c r="G86" s="33">
        <f>AVERAGE(Dados!G85:G87)</f>
        <v>118.39333333333333</v>
      </c>
      <c r="H86" s="33">
        <f>AVERAGE(Dados!H85:H87)</f>
        <v>127.39666666666666</v>
      </c>
      <c r="I86" s="33">
        <f>AVERAGE(Dados!I85:I87)</f>
        <v>123.08999999999999</v>
      </c>
      <c r="J86" s="33">
        <f>AVERAGE(Dados!J85:J87)</f>
        <v>123.01666666666667</v>
      </c>
      <c r="K86" s="33">
        <f>AVERAGE(Dados!K85:K87)</f>
        <v>126.15333333333335</v>
      </c>
    </row>
    <row r="87" spans="1:11" x14ac:dyDescent="0.25">
      <c r="A87" s="32">
        <v>40087</v>
      </c>
      <c r="B87" s="33">
        <f>AVERAGE(Dados!B86:B88)</f>
        <v>128.96</v>
      </c>
      <c r="C87" s="33">
        <f>AVERAGE(Dados!C86:C88)</f>
        <v>124.92</v>
      </c>
      <c r="D87" s="33">
        <f>AVERAGE(Dados!D86:D88)</f>
        <v>132.32000000000002</v>
      </c>
      <c r="E87" s="33">
        <f>AVERAGE(Dados!E86:E88)</f>
        <v>127.20666666666666</v>
      </c>
      <c r="F87" s="33">
        <f>AVERAGE(Dados!F86:F88)</f>
        <v>135.88666666666666</v>
      </c>
      <c r="G87" s="33">
        <f>AVERAGE(Dados!G86:G88)</f>
        <v>119.40666666666668</v>
      </c>
      <c r="H87" s="33">
        <f>AVERAGE(Dados!H86:H88)</f>
        <v>128.61333333333334</v>
      </c>
      <c r="I87" s="33">
        <f>AVERAGE(Dados!I86:I88)</f>
        <v>123.50333333333333</v>
      </c>
      <c r="J87" s="33">
        <f>AVERAGE(Dados!J86:J88)</f>
        <v>124.40999999999998</v>
      </c>
      <c r="K87" s="33">
        <f>AVERAGE(Dados!K86:K88)</f>
        <v>127.65333333333335</v>
      </c>
    </row>
    <row r="88" spans="1:11" x14ac:dyDescent="0.25">
      <c r="A88" s="32">
        <v>40118</v>
      </c>
      <c r="B88" s="33">
        <f>AVERAGE(Dados!B87:B89)</f>
        <v>129.63333333333333</v>
      </c>
      <c r="C88" s="33">
        <f>AVERAGE(Dados!C87:C89)</f>
        <v>126.35000000000001</v>
      </c>
      <c r="D88" s="33">
        <f>AVERAGE(Dados!D87:D89)</f>
        <v>133.11333333333334</v>
      </c>
      <c r="E88" s="33">
        <f>AVERAGE(Dados!E87:E89)</f>
        <v>127.94666666666667</v>
      </c>
      <c r="F88" s="33">
        <f>AVERAGE(Dados!F87:F89)</f>
        <v>137.78666666666666</v>
      </c>
      <c r="G88" s="33">
        <f>AVERAGE(Dados!G87:G89)</f>
        <v>120.40666666666665</v>
      </c>
      <c r="H88" s="33">
        <f>AVERAGE(Dados!H87:H89)</f>
        <v>130.12</v>
      </c>
      <c r="I88" s="33">
        <f>AVERAGE(Dados!I87:I89)</f>
        <v>123.94666666666667</v>
      </c>
      <c r="J88" s="33">
        <f>AVERAGE(Dados!J87:J89)</f>
        <v>126.04</v>
      </c>
      <c r="K88" s="33">
        <f>AVERAGE(Dados!K87:K89)</f>
        <v>128.75</v>
      </c>
    </row>
    <row r="89" spans="1:11" x14ac:dyDescent="0.25">
      <c r="A89" s="32">
        <v>40148</v>
      </c>
      <c r="B89" s="33">
        <f>AVERAGE(Dados!B88:B90)</f>
        <v>130.34</v>
      </c>
      <c r="C89" s="33">
        <f>AVERAGE(Dados!C88:C90)</f>
        <v>127.13666666666666</v>
      </c>
      <c r="D89" s="33">
        <f>AVERAGE(Dados!D88:D90)</f>
        <v>133.74666666666667</v>
      </c>
      <c r="E89" s="33">
        <f>AVERAGE(Dados!E88:E90)</f>
        <v>128.60333333333332</v>
      </c>
      <c r="F89" s="33">
        <f>AVERAGE(Dados!F88:F90)</f>
        <v>139.11666666666665</v>
      </c>
      <c r="G89" s="33">
        <f>AVERAGE(Dados!G88:G90)</f>
        <v>121.78333333333335</v>
      </c>
      <c r="H89" s="33">
        <f>AVERAGE(Dados!H88:H90)</f>
        <v>130.88333333333333</v>
      </c>
      <c r="I89" s="33">
        <f>AVERAGE(Dados!I88:I90)</f>
        <v>124.01666666666667</v>
      </c>
      <c r="J89" s="33">
        <f>AVERAGE(Dados!J88:J90)</f>
        <v>128.88999999999999</v>
      </c>
      <c r="K89" s="33">
        <f>AVERAGE(Dados!K88:K90)</f>
        <v>130.26999999999998</v>
      </c>
    </row>
    <row r="90" spans="1:11" x14ac:dyDescent="0.25">
      <c r="A90" s="32">
        <v>40179</v>
      </c>
      <c r="B90" s="33">
        <f>AVERAGE(Dados!B89:B91)</f>
        <v>131.57666666666668</v>
      </c>
      <c r="C90" s="33">
        <f>AVERAGE(Dados!C89:C91)</f>
        <v>128.05666666666667</v>
      </c>
      <c r="D90" s="33">
        <f>AVERAGE(Dados!D89:D91)</f>
        <v>134.68666666666667</v>
      </c>
      <c r="E90" s="33">
        <f>AVERAGE(Dados!E89:E91)</f>
        <v>129.95333333333335</v>
      </c>
      <c r="F90" s="33">
        <f>AVERAGE(Dados!F89:F91)</f>
        <v>140.54999999999998</v>
      </c>
      <c r="G90" s="33">
        <f>AVERAGE(Dados!G89:G91)</f>
        <v>122.58999999999999</v>
      </c>
      <c r="H90" s="33">
        <f>AVERAGE(Dados!H89:H91)</f>
        <v>132.30333333333331</v>
      </c>
      <c r="I90" s="33">
        <f>AVERAGE(Dados!I89:I91)</f>
        <v>124.78000000000002</v>
      </c>
      <c r="J90" s="33">
        <f>AVERAGE(Dados!J89:J91)</f>
        <v>130.96666666666667</v>
      </c>
      <c r="K90" s="33">
        <f>AVERAGE(Dados!K89:K91)</f>
        <v>131.36333333333332</v>
      </c>
    </row>
    <row r="91" spans="1:11" x14ac:dyDescent="0.25">
      <c r="A91" s="32">
        <v>40210</v>
      </c>
      <c r="B91" s="33">
        <f>AVERAGE(Dados!B90:B92)</f>
        <v>133.32666666666668</v>
      </c>
      <c r="C91" s="33">
        <f>AVERAGE(Dados!C90:C92)</f>
        <v>129.46</v>
      </c>
      <c r="D91" s="33">
        <f>AVERAGE(Dados!D90:D92)</f>
        <v>135.83000000000001</v>
      </c>
      <c r="E91" s="33">
        <f>AVERAGE(Dados!E90:E92)</f>
        <v>130.98000000000002</v>
      </c>
      <c r="F91" s="33">
        <f>AVERAGE(Dados!F90:F92)</f>
        <v>141.64000000000001</v>
      </c>
      <c r="G91" s="33">
        <f>AVERAGE(Dados!G90:G92)</f>
        <v>123.28000000000002</v>
      </c>
      <c r="H91" s="33">
        <f>AVERAGE(Dados!H90:H92)</f>
        <v>133.38333333333333</v>
      </c>
      <c r="I91" s="33">
        <f>AVERAGE(Dados!I90:I92)</f>
        <v>126.36333333333334</v>
      </c>
      <c r="J91" s="33">
        <f>AVERAGE(Dados!J90:J92)</f>
        <v>132.97666666666669</v>
      </c>
      <c r="K91" s="33">
        <f>AVERAGE(Dados!K90:K92)</f>
        <v>131.79333333333332</v>
      </c>
    </row>
    <row r="92" spans="1:11" x14ac:dyDescent="0.25">
      <c r="A92" s="32">
        <v>40238</v>
      </c>
      <c r="B92" s="33">
        <f>AVERAGE(Dados!B91:B93)</f>
        <v>135.14333333333335</v>
      </c>
      <c r="C92" s="33">
        <f>AVERAGE(Dados!C91:C93)</f>
        <v>131.18333333333334</v>
      </c>
      <c r="D92" s="33">
        <f>AVERAGE(Dados!D91:D93)</f>
        <v>137.48333333333335</v>
      </c>
      <c r="E92" s="33">
        <f>AVERAGE(Dados!E91:E93)</f>
        <v>132.12333333333333</v>
      </c>
      <c r="F92" s="33">
        <f>AVERAGE(Dados!F91:F93)</f>
        <v>142.59333333333333</v>
      </c>
      <c r="G92" s="33">
        <f>AVERAGE(Dados!G91:G93)</f>
        <v>123.92666666666668</v>
      </c>
      <c r="H92" s="33">
        <f>AVERAGE(Dados!H91:H93)</f>
        <v>135.02333333333334</v>
      </c>
      <c r="I92" s="33">
        <f>AVERAGE(Dados!I91:I93)</f>
        <v>127.04333333333334</v>
      </c>
      <c r="J92" s="33">
        <f>AVERAGE(Dados!J91:J93)</f>
        <v>135.53</v>
      </c>
      <c r="K92" s="33">
        <f>AVERAGE(Dados!K91:K93)</f>
        <v>131.91666666666666</v>
      </c>
    </row>
    <row r="93" spans="1:11" x14ac:dyDescent="0.25">
      <c r="A93" s="32">
        <v>40269</v>
      </c>
      <c r="B93" s="33">
        <f>AVERAGE(Dados!B92:B94)</f>
        <v>136.35</v>
      </c>
      <c r="C93" s="33">
        <f>AVERAGE(Dados!C92:C94)</f>
        <v>132.25333333333333</v>
      </c>
      <c r="D93" s="33">
        <f>AVERAGE(Dados!D92:D94)</f>
        <v>138.72333333333333</v>
      </c>
      <c r="E93" s="33">
        <f>AVERAGE(Dados!E92:E94)</f>
        <v>132.46666666666667</v>
      </c>
      <c r="F93" s="33">
        <f>AVERAGE(Dados!F92:F94)</f>
        <v>143.38999999999999</v>
      </c>
      <c r="G93" s="33">
        <f>AVERAGE(Dados!G92:G94)</f>
        <v>124.83999999999999</v>
      </c>
      <c r="H93" s="33">
        <f>AVERAGE(Dados!H92:H94)</f>
        <v>136.01666666666665</v>
      </c>
      <c r="I93" s="33">
        <f>AVERAGE(Dados!I92:I94)</f>
        <v>127.33999999999999</v>
      </c>
      <c r="J93" s="33">
        <f>AVERAGE(Dados!J92:J94)</f>
        <v>136.42333333333335</v>
      </c>
      <c r="K93" s="33">
        <f>AVERAGE(Dados!K92:K94)</f>
        <v>132.80333333333334</v>
      </c>
    </row>
    <row r="94" spans="1:11" x14ac:dyDescent="0.25">
      <c r="A94" s="32">
        <v>40299</v>
      </c>
      <c r="B94" s="33">
        <f>AVERAGE(Dados!B93:B95)</f>
        <v>136.78</v>
      </c>
      <c r="C94" s="33">
        <f>AVERAGE(Dados!C93:C95)</f>
        <v>132.47666666666666</v>
      </c>
      <c r="D94" s="33">
        <f>AVERAGE(Dados!D93:D95)</f>
        <v>139.5</v>
      </c>
      <c r="E94" s="33">
        <f>AVERAGE(Dados!E93:E95)</f>
        <v>132.86666666666667</v>
      </c>
      <c r="F94" s="33">
        <f>AVERAGE(Dados!F93:F95)</f>
        <v>143.79666666666665</v>
      </c>
      <c r="G94" s="33">
        <f>AVERAGE(Dados!G93:G95)</f>
        <v>125.39</v>
      </c>
      <c r="H94" s="33">
        <f>AVERAGE(Dados!H93:H95)</f>
        <v>136.38333333333333</v>
      </c>
      <c r="I94" s="33">
        <f>AVERAGE(Dados!I93:I95)</f>
        <v>127.19333333333333</v>
      </c>
      <c r="J94" s="33">
        <f>AVERAGE(Dados!J93:J95)</f>
        <v>136.95333333333335</v>
      </c>
      <c r="K94" s="33">
        <f>AVERAGE(Dados!K93:K95)</f>
        <v>133.73000000000002</v>
      </c>
    </row>
    <row r="95" spans="1:11" x14ac:dyDescent="0.25">
      <c r="A95" s="32">
        <v>40330</v>
      </c>
      <c r="B95" s="33">
        <f>AVERAGE(Dados!B94:B96)</f>
        <v>136.60999999999999</v>
      </c>
      <c r="C95" s="33">
        <f>AVERAGE(Dados!C94:C96)</f>
        <v>132.23666666666668</v>
      </c>
      <c r="D95" s="33">
        <f>AVERAGE(Dados!D94:D96)</f>
        <v>139.08666666666667</v>
      </c>
      <c r="E95" s="33">
        <f>AVERAGE(Dados!E94:E96)</f>
        <v>132.75</v>
      </c>
      <c r="F95" s="33">
        <f>AVERAGE(Dados!F94:F96)</f>
        <v>144.00333333333333</v>
      </c>
      <c r="G95" s="33">
        <f>AVERAGE(Dados!G94:G96)</f>
        <v>124.93333333333334</v>
      </c>
      <c r="H95" s="33">
        <f>AVERAGE(Dados!H94:H96)</f>
        <v>135.53333333333333</v>
      </c>
      <c r="I95" s="33">
        <f>AVERAGE(Dados!I94:I96)</f>
        <v>127.80999999999999</v>
      </c>
      <c r="J95" s="33">
        <f>AVERAGE(Dados!J94:J96)</f>
        <v>136.24666666666667</v>
      </c>
      <c r="K95" s="33">
        <f>AVERAGE(Dados!K94:K96)</f>
        <v>133.84666666666666</v>
      </c>
    </row>
    <row r="96" spans="1:11" x14ac:dyDescent="0.25">
      <c r="A96" s="32">
        <v>40360</v>
      </c>
      <c r="B96" s="33">
        <f>AVERAGE(Dados!B95:B97)</f>
        <v>136.51333333333335</v>
      </c>
      <c r="C96" s="33">
        <f>AVERAGE(Dados!C95:C97)</f>
        <v>132.35666666666668</v>
      </c>
      <c r="D96" s="33">
        <f>AVERAGE(Dados!D95:D97)</f>
        <v>139.72</v>
      </c>
      <c r="E96" s="33">
        <f>AVERAGE(Dados!E95:E97)</f>
        <v>132.89333333333332</v>
      </c>
      <c r="F96" s="33">
        <f>AVERAGE(Dados!F95:F97)</f>
        <v>144.01666666666668</v>
      </c>
      <c r="G96" s="33">
        <f>AVERAGE(Dados!G95:G97)</f>
        <v>125.01333333333334</v>
      </c>
      <c r="H96" s="33">
        <f>AVERAGE(Dados!H95:H97)</f>
        <v>133.6866666666667</v>
      </c>
      <c r="I96" s="33">
        <f>AVERAGE(Dados!I95:I97)</f>
        <v>128.49</v>
      </c>
      <c r="J96" s="33">
        <f>AVERAGE(Dados!J95:J97)</f>
        <v>136.54333333333332</v>
      </c>
      <c r="K96" s="33">
        <f>AVERAGE(Dados!K95:K97)</f>
        <v>134.07333333333335</v>
      </c>
    </row>
    <row r="97" spans="1:11" x14ac:dyDescent="0.25">
      <c r="A97" s="32">
        <v>40391</v>
      </c>
      <c r="B97" s="33">
        <f>AVERAGE(Dados!B96:B98)</f>
        <v>136.88333333333333</v>
      </c>
      <c r="C97" s="33">
        <f>AVERAGE(Dados!C96:C98)</f>
        <v>132.70000000000002</v>
      </c>
      <c r="D97" s="33">
        <f>AVERAGE(Dados!D96:D98)</f>
        <v>140.10333333333332</v>
      </c>
      <c r="E97" s="33">
        <f>AVERAGE(Dados!E96:E98)</f>
        <v>133.08000000000001</v>
      </c>
      <c r="F97" s="33">
        <f>AVERAGE(Dados!F96:F98)</f>
        <v>144.50666666666666</v>
      </c>
      <c r="G97" s="33">
        <f>AVERAGE(Dados!G96:G98)</f>
        <v>125.43</v>
      </c>
      <c r="H97" s="33">
        <f>AVERAGE(Dados!H96:H98)</f>
        <v>132.75333333333333</v>
      </c>
      <c r="I97" s="33">
        <f>AVERAGE(Dados!I96:I98)</f>
        <v>129.04</v>
      </c>
      <c r="J97" s="33">
        <f>AVERAGE(Dados!J96:J98)</f>
        <v>136.27666666666667</v>
      </c>
      <c r="K97" s="33">
        <f>AVERAGE(Dados!K96:K98)</f>
        <v>134.56333333333333</v>
      </c>
    </row>
    <row r="98" spans="1:11" x14ac:dyDescent="0.25">
      <c r="A98" s="32">
        <v>40422</v>
      </c>
      <c r="B98" s="33">
        <f>AVERAGE(Dados!B97:B99)</f>
        <v>137.91999999999999</v>
      </c>
      <c r="C98" s="33">
        <f>AVERAGE(Dados!C97:C99)</f>
        <v>133.15333333333334</v>
      </c>
      <c r="D98" s="33">
        <f>AVERAGE(Dados!D97:D99)</f>
        <v>141.37</v>
      </c>
      <c r="E98" s="33">
        <f>AVERAGE(Dados!E97:E99)</f>
        <v>133.59666666666666</v>
      </c>
      <c r="F98" s="33">
        <f>AVERAGE(Dados!F97:F99)</f>
        <v>144.86666666666667</v>
      </c>
      <c r="G98" s="33">
        <f>AVERAGE(Dados!G97:G99)</f>
        <v>125.65000000000002</v>
      </c>
      <c r="H98" s="33">
        <f>AVERAGE(Dados!H97:H99)</f>
        <v>132.38333333333333</v>
      </c>
      <c r="I98" s="33">
        <f>AVERAGE(Dados!I97:I99)</f>
        <v>129.49666666666664</v>
      </c>
      <c r="J98" s="33">
        <f>AVERAGE(Dados!J97:J99)</f>
        <v>136.54333333333332</v>
      </c>
      <c r="K98" s="33">
        <f>AVERAGE(Dados!K97:K99)</f>
        <v>135.20333333333335</v>
      </c>
    </row>
    <row r="99" spans="1:11" x14ac:dyDescent="0.25">
      <c r="A99" s="32">
        <v>40452</v>
      </c>
      <c r="B99" s="33">
        <f>AVERAGE(Dados!B98:B100)</f>
        <v>138.59333333333333</v>
      </c>
      <c r="C99" s="33">
        <f>AVERAGE(Dados!C98:C100)</f>
        <v>133.72333333333333</v>
      </c>
      <c r="D99" s="33">
        <f>AVERAGE(Dados!D98:D100)</f>
        <v>142.54666666666665</v>
      </c>
      <c r="E99" s="33">
        <f>AVERAGE(Dados!E98:E100)</f>
        <v>133.85</v>
      </c>
      <c r="F99" s="33">
        <f>AVERAGE(Dados!F98:F100)</f>
        <v>145.43666666666664</v>
      </c>
      <c r="G99" s="33">
        <f>AVERAGE(Dados!G98:G100)</f>
        <v>125.42333333333333</v>
      </c>
      <c r="H99" s="33">
        <f>AVERAGE(Dados!H98:H100)</f>
        <v>133.34</v>
      </c>
      <c r="I99" s="33">
        <f>AVERAGE(Dados!I98:I100)</f>
        <v>130.01666666666665</v>
      </c>
      <c r="J99" s="33">
        <f>AVERAGE(Dados!J98:J100)</f>
        <v>137.13333333333333</v>
      </c>
      <c r="K99" s="33">
        <f>AVERAGE(Dados!K98:K100)</f>
        <v>136.11666666666667</v>
      </c>
    </row>
    <row r="100" spans="1:11" x14ac:dyDescent="0.25">
      <c r="A100" s="32">
        <v>40483</v>
      </c>
      <c r="B100" s="33">
        <f>AVERAGE(Dados!B99:B101)</f>
        <v>139.40666666666667</v>
      </c>
      <c r="C100" s="33">
        <f>AVERAGE(Dados!C99:C101)</f>
        <v>134.29</v>
      </c>
      <c r="D100" s="33">
        <f>AVERAGE(Dados!D99:D101)</f>
        <v>143.83666666666667</v>
      </c>
      <c r="E100" s="33">
        <f>AVERAGE(Dados!E99:E101)</f>
        <v>134.44666666666666</v>
      </c>
      <c r="F100" s="33">
        <f>AVERAGE(Dados!F99:F101)</f>
        <v>145.89666666666665</v>
      </c>
      <c r="G100" s="33">
        <f>AVERAGE(Dados!G99:G101)</f>
        <v>126.04</v>
      </c>
      <c r="H100" s="33">
        <f>AVERAGE(Dados!H99:H101)</f>
        <v>134.57</v>
      </c>
      <c r="I100" s="33">
        <f>AVERAGE(Dados!I99:I101)</f>
        <v>130.55666666666664</v>
      </c>
      <c r="J100" s="33">
        <f>AVERAGE(Dados!J99:J101)</f>
        <v>138.08666666666667</v>
      </c>
      <c r="K100" s="33">
        <f>AVERAGE(Dados!K99:K101)</f>
        <v>136.69333333333336</v>
      </c>
    </row>
    <row r="101" spans="1:11" x14ac:dyDescent="0.25">
      <c r="A101" s="32">
        <v>40513</v>
      </c>
      <c r="B101" s="33">
        <f>AVERAGE(Dados!B100:B102)</f>
        <v>139.16999999999999</v>
      </c>
      <c r="C101" s="33">
        <f>AVERAGE(Dados!C100:C102)</f>
        <v>135.65333333333334</v>
      </c>
      <c r="D101" s="33">
        <f>AVERAGE(Dados!D100:D102)</f>
        <v>145.26</v>
      </c>
      <c r="E101" s="33">
        <f>AVERAGE(Dados!E100:E102)</f>
        <v>135.03</v>
      </c>
      <c r="F101" s="33">
        <f>AVERAGE(Dados!F100:F102)</f>
        <v>146.45333333333335</v>
      </c>
      <c r="G101" s="33">
        <f>AVERAGE(Dados!G100:G102)</f>
        <v>127.69333333333334</v>
      </c>
      <c r="H101" s="33">
        <f>AVERAGE(Dados!H100:H102)</f>
        <v>137.62</v>
      </c>
      <c r="I101" s="33">
        <f>AVERAGE(Dados!I100:I102)</f>
        <v>130.92333333333332</v>
      </c>
      <c r="J101" s="33">
        <f>AVERAGE(Dados!J100:J102)</f>
        <v>138.75333333333333</v>
      </c>
      <c r="K101" s="33">
        <f>AVERAGE(Dados!K100:K102)</f>
        <v>137.47999999999999</v>
      </c>
    </row>
    <row r="102" spans="1:11" x14ac:dyDescent="0.25">
      <c r="A102" s="32">
        <v>40544</v>
      </c>
      <c r="B102" s="33">
        <f>AVERAGE(Dados!B101:B103)</f>
        <v>139.60999999999999</v>
      </c>
      <c r="C102" s="33">
        <f>AVERAGE(Dados!C101:C103)</f>
        <v>136.52666666666667</v>
      </c>
      <c r="D102" s="33">
        <f>AVERAGE(Dados!D101:D103)</f>
        <v>145.23666666666665</v>
      </c>
      <c r="E102" s="33">
        <f>AVERAGE(Dados!E101:E103)</f>
        <v>135.23333333333332</v>
      </c>
      <c r="F102" s="33">
        <f>AVERAGE(Dados!F101:F103)</f>
        <v>147.04666666666668</v>
      </c>
      <c r="G102" s="33">
        <f>AVERAGE(Dados!G101:G103)</f>
        <v>129.30333333333337</v>
      </c>
      <c r="H102" s="33">
        <f>AVERAGE(Dados!H101:H103)</f>
        <v>139.88333333333333</v>
      </c>
      <c r="I102" s="33">
        <f>AVERAGE(Dados!I101:I103)</f>
        <v>130.93666666666664</v>
      </c>
      <c r="J102" s="33">
        <f>AVERAGE(Dados!J101:J103)</f>
        <v>139.78333333333333</v>
      </c>
      <c r="K102" s="33">
        <f>AVERAGE(Dados!K101:K103)</f>
        <v>137.07666666666668</v>
      </c>
    </row>
    <row r="103" spans="1:11" x14ac:dyDescent="0.25">
      <c r="A103" s="32">
        <v>40575</v>
      </c>
      <c r="B103" s="33">
        <f>AVERAGE(Dados!B102:B104)</f>
        <v>139.78666666666666</v>
      </c>
      <c r="C103" s="33">
        <f>AVERAGE(Dados!C102:C104)</f>
        <v>137.47666666666666</v>
      </c>
      <c r="D103" s="33">
        <f>AVERAGE(Dados!D102:D104)</f>
        <v>145.43999999999997</v>
      </c>
      <c r="E103" s="33">
        <f>AVERAGE(Dados!E102:E104)</f>
        <v>135.43333333333331</v>
      </c>
      <c r="F103" s="33">
        <f>AVERAGE(Dados!F102:F104)</f>
        <v>147.44666666666669</v>
      </c>
      <c r="G103" s="33">
        <f>AVERAGE(Dados!G102:G104)</f>
        <v>129.97666666666669</v>
      </c>
      <c r="H103" s="33">
        <f>AVERAGE(Dados!H102:H104)</f>
        <v>140.68333333333331</v>
      </c>
      <c r="I103" s="33">
        <f>AVERAGE(Dados!I102:I104)</f>
        <v>130.88666666666666</v>
      </c>
      <c r="J103" s="33">
        <f>AVERAGE(Dados!J102:J104)</f>
        <v>140.36666666666667</v>
      </c>
      <c r="K103" s="33">
        <f>AVERAGE(Dados!K102:K104)</f>
        <v>136.14666666666668</v>
      </c>
    </row>
    <row r="104" spans="1:11" x14ac:dyDescent="0.25">
      <c r="A104" s="32">
        <v>40603</v>
      </c>
      <c r="B104" s="33">
        <f>AVERAGE(Dados!B103:B105)</f>
        <v>140.69999999999999</v>
      </c>
      <c r="C104" s="33">
        <f>AVERAGE(Dados!C103:C105)</f>
        <v>137.42333333333332</v>
      </c>
      <c r="D104" s="33">
        <f>AVERAGE(Dados!D103:D105)</f>
        <v>145.14999999999998</v>
      </c>
      <c r="E104" s="33">
        <f>AVERAGE(Dados!E103:E105)</f>
        <v>135.77999999999997</v>
      </c>
      <c r="F104" s="33">
        <f>AVERAGE(Dados!F103:F105)</f>
        <v>147.99666666666664</v>
      </c>
      <c r="G104" s="33">
        <f>AVERAGE(Dados!G103:G105)</f>
        <v>130.65333333333334</v>
      </c>
      <c r="H104" s="33">
        <f>AVERAGE(Dados!H103:H105)</f>
        <v>139.5733333333333</v>
      </c>
      <c r="I104" s="33">
        <f>AVERAGE(Dados!I103:I105)</f>
        <v>130.94333333333336</v>
      </c>
      <c r="J104" s="33">
        <f>AVERAGE(Dados!J103:J105)</f>
        <v>140.67999999999998</v>
      </c>
      <c r="K104" s="33">
        <f>AVERAGE(Dados!K103:K105)</f>
        <v>136.11666666666667</v>
      </c>
    </row>
    <row r="105" spans="1:11" x14ac:dyDescent="0.25">
      <c r="A105" s="32">
        <v>40634</v>
      </c>
      <c r="B105" s="33">
        <f>AVERAGE(Dados!B104:B106)</f>
        <v>140.96666666666667</v>
      </c>
      <c r="C105" s="33">
        <f>AVERAGE(Dados!C104:C106)</f>
        <v>137.31666666666663</v>
      </c>
      <c r="D105" s="33">
        <f>AVERAGE(Dados!D104:D106)</f>
        <v>145.92999999999998</v>
      </c>
      <c r="E105" s="33">
        <f>AVERAGE(Dados!E104:E106)</f>
        <v>136.70000000000002</v>
      </c>
      <c r="F105" s="33">
        <f>AVERAGE(Dados!F104:F106)</f>
        <v>147.54</v>
      </c>
      <c r="G105" s="33">
        <f>AVERAGE(Dados!G104:G106)</f>
        <v>130.57666666666668</v>
      </c>
      <c r="H105" s="33">
        <f>AVERAGE(Dados!H104:H106)</f>
        <v>137.99666666666667</v>
      </c>
      <c r="I105" s="33">
        <f>AVERAGE(Dados!I104:I106)</f>
        <v>131.30333333333337</v>
      </c>
      <c r="J105" s="33">
        <f>AVERAGE(Dados!J104:J106)</f>
        <v>140.73666666666668</v>
      </c>
      <c r="K105" s="33">
        <f>AVERAGE(Dados!K104:K106)</f>
        <v>136.93333333333337</v>
      </c>
    </row>
    <row r="106" spans="1:11" x14ac:dyDescent="0.25">
      <c r="A106" s="32">
        <v>40664</v>
      </c>
      <c r="B106" s="33">
        <f>AVERAGE(Dados!B105:B107)</f>
        <v>141.17666666666665</v>
      </c>
      <c r="C106" s="33">
        <f>AVERAGE(Dados!C105:C107)</f>
        <v>137.37333333333333</v>
      </c>
      <c r="D106" s="33">
        <f>AVERAGE(Dados!D105:D107)</f>
        <v>146.43666666666664</v>
      </c>
      <c r="E106" s="33">
        <f>AVERAGE(Dados!E105:E107)</f>
        <v>140.09</v>
      </c>
      <c r="F106" s="33">
        <f>AVERAGE(Dados!F105:F107)</f>
        <v>147.74666666666667</v>
      </c>
      <c r="G106" s="33">
        <f>AVERAGE(Dados!G105:G107)</f>
        <v>131.23333333333335</v>
      </c>
      <c r="H106" s="33">
        <f>AVERAGE(Dados!H105:H107)</f>
        <v>137.38666666666666</v>
      </c>
      <c r="I106" s="33">
        <f>AVERAGE(Dados!I105:I107)</f>
        <v>131.17666666666665</v>
      </c>
      <c r="J106" s="33">
        <f>AVERAGE(Dados!J105:J107)</f>
        <v>141.49</v>
      </c>
      <c r="K106" s="33">
        <f>AVERAGE(Dados!K105:K107)</f>
        <v>138.54</v>
      </c>
    </row>
    <row r="107" spans="1:11" x14ac:dyDescent="0.25">
      <c r="A107" s="32">
        <v>40695</v>
      </c>
      <c r="B107" s="33">
        <f>AVERAGE(Dados!B106:B108)</f>
        <v>141.45666666666668</v>
      </c>
      <c r="C107" s="33">
        <f>AVERAGE(Dados!C106:C108)</f>
        <v>136.81</v>
      </c>
      <c r="D107" s="33">
        <f>AVERAGE(Dados!D106:D108)</f>
        <v>147.12666666666667</v>
      </c>
      <c r="E107" s="33">
        <f>AVERAGE(Dados!E106:E108)</f>
        <v>142.20666666666668</v>
      </c>
      <c r="F107" s="33">
        <f>AVERAGE(Dados!F106:F108)</f>
        <v>147.21</v>
      </c>
      <c r="G107" s="33">
        <f>AVERAGE(Dados!G106:G108)</f>
        <v>130.92666666666665</v>
      </c>
      <c r="H107" s="33">
        <f>AVERAGE(Dados!H106:H108)</f>
        <v>136.15</v>
      </c>
      <c r="I107" s="33">
        <f>AVERAGE(Dados!I106:I108)</f>
        <v>130.79666666666665</v>
      </c>
      <c r="J107" s="33">
        <f>AVERAGE(Dados!J106:J108)</f>
        <v>142.27666666666667</v>
      </c>
      <c r="K107" s="33">
        <f>AVERAGE(Dados!K106:K108)</f>
        <v>140.08666666666667</v>
      </c>
    </row>
    <row r="108" spans="1:11" x14ac:dyDescent="0.25">
      <c r="A108" s="32">
        <v>40725</v>
      </c>
      <c r="B108" s="33">
        <f>AVERAGE(Dados!B107:B109)</f>
        <v>141.89333333333332</v>
      </c>
      <c r="C108" s="33">
        <f>AVERAGE(Dados!C107:C109)</f>
        <v>136.69</v>
      </c>
      <c r="D108" s="33">
        <f>AVERAGE(Dados!D107:D109)</f>
        <v>148.07666666666668</v>
      </c>
      <c r="E108" s="33">
        <f>AVERAGE(Dados!E107:E109)</f>
        <v>144.04</v>
      </c>
      <c r="F108" s="33">
        <f>AVERAGE(Dados!F107:F109)</f>
        <v>148.12</v>
      </c>
      <c r="G108" s="33">
        <f>AVERAGE(Dados!G107:G109)</f>
        <v>131.31333333333333</v>
      </c>
      <c r="H108" s="33">
        <f>AVERAGE(Dados!H107:H109)</f>
        <v>136.30333333333334</v>
      </c>
      <c r="I108" s="33">
        <f>AVERAGE(Dados!I107:I109)</f>
        <v>130.38</v>
      </c>
      <c r="J108" s="33">
        <f>AVERAGE(Dados!J107:J109)</f>
        <v>143.15666666666667</v>
      </c>
      <c r="K108" s="33">
        <f>AVERAGE(Dados!K107:K109)</f>
        <v>140.26666666666665</v>
      </c>
    </row>
    <row r="109" spans="1:11" x14ac:dyDescent="0.25">
      <c r="A109" s="32">
        <v>40756</v>
      </c>
      <c r="B109" s="33">
        <f>AVERAGE(Dados!B108:B110)</f>
        <v>142.09333333333333</v>
      </c>
      <c r="C109" s="33">
        <f>AVERAGE(Dados!C108:C110)</f>
        <v>136.16</v>
      </c>
      <c r="D109" s="33">
        <f>AVERAGE(Dados!D108:D110)</f>
        <v>148.60666666666668</v>
      </c>
      <c r="E109" s="33">
        <f>AVERAGE(Dados!E108:E110)</f>
        <v>143.26999999999998</v>
      </c>
      <c r="F109" s="33">
        <f>AVERAGE(Dados!F108:F110)</f>
        <v>148.07</v>
      </c>
      <c r="G109" s="33">
        <f>AVERAGE(Dados!G108:G110)</f>
        <v>130.59666666666666</v>
      </c>
      <c r="H109" s="33">
        <f>AVERAGE(Dados!H108:H110)</f>
        <v>136.30333333333337</v>
      </c>
      <c r="I109" s="33">
        <f>AVERAGE(Dados!I108:I110)</f>
        <v>130.38333333333333</v>
      </c>
      <c r="J109" s="33">
        <f>AVERAGE(Dados!J108:J110)</f>
        <v>143.70666666666668</v>
      </c>
      <c r="K109" s="33">
        <f>AVERAGE(Dados!K108:K110)</f>
        <v>140.21</v>
      </c>
    </row>
    <row r="110" spans="1:11" x14ac:dyDescent="0.25">
      <c r="A110" s="32">
        <v>40787</v>
      </c>
      <c r="B110" s="33">
        <f>AVERAGE(Dados!B109:B111)</f>
        <v>141.96333333333334</v>
      </c>
      <c r="C110" s="33">
        <f>AVERAGE(Dados!C109:C111)</f>
        <v>136.43</v>
      </c>
      <c r="D110" s="33">
        <f>AVERAGE(Dados!D109:D111)</f>
        <v>149.92000000000002</v>
      </c>
      <c r="E110" s="33">
        <f>AVERAGE(Dados!E109:E111)</f>
        <v>142.79999999999998</v>
      </c>
      <c r="F110" s="33">
        <f>AVERAGE(Dados!F109:F111)</f>
        <v>148.48666666666668</v>
      </c>
      <c r="G110" s="33">
        <f>AVERAGE(Dados!G109:G111)</f>
        <v>130.82333333333335</v>
      </c>
      <c r="H110" s="33">
        <f>AVERAGE(Dados!H109:H111)</f>
        <v>137.19666666666669</v>
      </c>
      <c r="I110" s="33">
        <f>AVERAGE(Dados!I109:I111)</f>
        <v>130.71666666666667</v>
      </c>
      <c r="J110" s="33">
        <f>AVERAGE(Dados!J109:J111)</f>
        <v>144.51</v>
      </c>
      <c r="K110" s="33">
        <f>AVERAGE(Dados!K109:K111)</f>
        <v>139.07</v>
      </c>
    </row>
    <row r="111" spans="1:11" x14ac:dyDescent="0.25">
      <c r="A111" s="32">
        <v>40817</v>
      </c>
      <c r="B111" s="33">
        <f>AVERAGE(Dados!B110:B112)</f>
        <v>141.68</v>
      </c>
      <c r="C111" s="33">
        <f>AVERAGE(Dados!C110:C112)</f>
        <v>136.64333333333335</v>
      </c>
      <c r="D111" s="33">
        <f>AVERAGE(Dados!D110:D112)</f>
        <v>150.76666666666668</v>
      </c>
      <c r="E111" s="33">
        <f>AVERAGE(Dados!E110:E112)</f>
        <v>140.77000000000001</v>
      </c>
      <c r="F111" s="33">
        <f>AVERAGE(Dados!F110:F112)</f>
        <v>147.73999999999998</v>
      </c>
      <c r="G111" s="33">
        <f>AVERAGE(Dados!G110:G112)</f>
        <v>131.00666666666669</v>
      </c>
      <c r="H111" s="33">
        <f>AVERAGE(Dados!H110:H112)</f>
        <v>137.10666666666668</v>
      </c>
      <c r="I111" s="33">
        <f>AVERAGE(Dados!I110:I112)</f>
        <v>130.83000000000001</v>
      </c>
      <c r="J111" s="33">
        <f>AVERAGE(Dados!J110:J112)</f>
        <v>144.83333333333334</v>
      </c>
      <c r="K111" s="33">
        <f>AVERAGE(Dados!K110:K112)</f>
        <v>139.13333333333335</v>
      </c>
    </row>
    <row r="112" spans="1:11" x14ac:dyDescent="0.25">
      <c r="A112" s="32">
        <v>40848</v>
      </c>
      <c r="B112" s="33">
        <f>AVERAGE(Dados!B111:B113)</f>
        <v>141.82666666666668</v>
      </c>
      <c r="C112" s="33">
        <f>AVERAGE(Dados!C111:C113)</f>
        <v>137.76666666666668</v>
      </c>
      <c r="D112" s="33">
        <f>AVERAGE(Dados!D111:D113)</f>
        <v>151.34666666666666</v>
      </c>
      <c r="E112" s="33">
        <f>AVERAGE(Dados!E111:E113)</f>
        <v>138.24666666666667</v>
      </c>
      <c r="F112" s="33">
        <f>AVERAGE(Dados!F111:F113)</f>
        <v>147.49333333333331</v>
      </c>
      <c r="G112" s="33">
        <f>AVERAGE(Dados!G111:G113)</f>
        <v>131.3066666666667</v>
      </c>
      <c r="H112" s="33">
        <f>AVERAGE(Dados!H111:H113)</f>
        <v>137.58333333333334</v>
      </c>
      <c r="I112" s="33">
        <f>AVERAGE(Dados!I111:I113)</f>
        <v>131.15333333333334</v>
      </c>
      <c r="J112" s="33">
        <f>AVERAGE(Dados!J111:J113)</f>
        <v>145.70666666666668</v>
      </c>
      <c r="K112" s="33">
        <f>AVERAGE(Dados!K111:K113)</f>
        <v>139.32000000000002</v>
      </c>
    </row>
    <row r="113" spans="1:11" x14ac:dyDescent="0.25">
      <c r="A113" s="32">
        <v>40878</v>
      </c>
      <c r="B113" s="33">
        <f>AVERAGE(Dados!B112:B114)</f>
        <v>141.37333333333333</v>
      </c>
      <c r="C113" s="33">
        <f>AVERAGE(Dados!C112:C114)</f>
        <v>138.82666666666668</v>
      </c>
      <c r="D113" s="33">
        <f>AVERAGE(Dados!D112:D114)</f>
        <v>149.51666666666668</v>
      </c>
      <c r="E113" s="33">
        <f>AVERAGE(Dados!E112:E114)</f>
        <v>136.92666666666665</v>
      </c>
      <c r="F113" s="33">
        <f>AVERAGE(Dados!F112:F114)</f>
        <v>147.88999999999999</v>
      </c>
      <c r="G113" s="33">
        <f>AVERAGE(Dados!G112:G114)</f>
        <v>132.65666666666667</v>
      </c>
      <c r="H113" s="33">
        <f>AVERAGE(Dados!H112:H114)</f>
        <v>139.46666666666667</v>
      </c>
      <c r="I113" s="33">
        <f>AVERAGE(Dados!I112:I114)</f>
        <v>131.33666666666667</v>
      </c>
      <c r="J113" s="33">
        <f>AVERAGE(Dados!J112:J114)</f>
        <v>147.80666666666667</v>
      </c>
      <c r="K113" s="33">
        <f>AVERAGE(Dados!K112:K114)</f>
        <v>139.77333333333334</v>
      </c>
    </row>
    <row r="114" spans="1:11" x14ac:dyDescent="0.25">
      <c r="A114" s="32">
        <v>40909</v>
      </c>
      <c r="B114" s="33">
        <f>AVERAGE(Dados!B113:B115)</f>
        <v>140.49</v>
      </c>
      <c r="C114" s="33">
        <f>AVERAGE(Dados!C113:C115)</f>
        <v>137.99333333333334</v>
      </c>
      <c r="D114" s="33">
        <f>AVERAGE(Dados!D113:D115)</f>
        <v>149.34333333333333</v>
      </c>
      <c r="E114" s="33">
        <f>AVERAGE(Dados!E113:E115)</f>
        <v>137.29333333333332</v>
      </c>
      <c r="F114" s="33">
        <f>AVERAGE(Dados!F113:F115)</f>
        <v>148.55666666666667</v>
      </c>
      <c r="G114" s="33">
        <f>AVERAGE(Dados!G113:G115)</f>
        <v>132.79</v>
      </c>
      <c r="H114" s="33">
        <f>AVERAGE(Dados!H113:H115)</f>
        <v>139.65666666666664</v>
      </c>
      <c r="I114" s="33">
        <f>AVERAGE(Dados!I113:I115)</f>
        <v>131.17000000000002</v>
      </c>
      <c r="J114" s="33">
        <f>AVERAGE(Dados!J113:J115)</f>
        <v>147.66333333333333</v>
      </c>
      <c r="K114" s="33">
        <f>AVERAGE(Dados!K113:K115)</f>
        <v>140.02333333333334</v>
      </c>
    </row>
    <row r="115" spans="1:11" x14ac:dyDescent="0.25">
      <c r="A115" s="32">
        <v>40940</v>
      </c>
      <c r="B115" s="33">
        <f>AVERAGE(Dados!B114:B116)</f>
        <v>139.84333333333333</v>
      </c>
      <c r="C115" s="33">
        <f>AVERAGE(Dados!C114:C116)</f>
        <v>136.86666666666667</v>
      </c>
      <c r="D115" s="33">
        <f>AVERAGE(Dados!D114:D116)</f>
        <v>149.63999999999999</v>
      </c>
      <c r="E115" s="33">
        <f>AVERAGE(Dados!E114:E116)</f>
        <v>138.12666666666667</v>
      </c>
      <c r="F115" s="33">
        <f>AVERAGE(Dados!F114:F116)</f>
        <v>148.32666666666668</v>
      </c>
      <c r="G115" s="33">
        <f>AVERAGE(Dados!G114:G116)</f>
        <v>131.76000000000002</v>
      </c>
      <c r="H115" s="33">
        <f>AVERAGE(Dados!H114:H116)</f>
        <v>139.23666666666665</v>
      </c>
      <c r="I115" s="33">
        <f>AVERAGE(Dados!I114:I116)</f>
        <v>130.72333333333333</v>
      </c>
      <c r="J115" s="33">
        <f>AVERAGE(Dados!J114:J116)</f>
        <v>145.44333333333336</v>
      </c>
      <c r="K115" s="33">
        <f>AVERAGE(Dados!K114:K116)</f>
        <v>140.18666666666667</v>
      </c>
    </row>
    <row r="116" spans="1:11" x14ac:dyDescent="0.25">
      <c r="A116" s="32">
        <v>40969</v>
      </c>
      <c r="B116" s="33">
        <f>AVERAGE(Dados!B115:B117)</f>
        <v>139.67666666666665</v>
      </c>
      <c r="C116" s="33">
        <f>AVERAGE(Dados!C115:C117)</f>
        <v>136.82333333333335</v>
      </c>
      <c r="D116" s="33">
        <f>AVERAGE(Dados!D115:D117)</f>
        <v>151.31666666666669</v>
      </c>
      <c r="E116" s="33">
        <f>AVERAGE(Dados!E115:E117)</f>
        <v>138.20333333333335</v>
      </c>
      <c r="F116" s="33">
        <f>AVERAGE(Dados!F115:F117)</f>
        <v>148.29</v>
      </c>
      <c r="G116" s="33">
        <f>AVERAGE(Dados!G115:G117)</f>
        <v>127.17666666666666</v>
      </c>
      <c r="H116" s="33">
        <f>AVERAGE(Dados!H115:H117)</f>
        <v>137.27999999999997</v>
      </c>
      <c r="I116" s="33">
        <f>AVERAGE(Dados!I115:I117)</f>
        <v>130.79333333333332</v>
      </c>
      <c r="J116" s="33">
        <f>AVERAGE(Dados!J115:J117)</f>
        <v>141.07666666666668</v>
      </c>
      <c r="K116" s="33">
        <f>AVERAGE(Dados!K115:K117)</f>
        <v>140.22666666666666</v>
      </c>
    </row>
    <row r="117" spans="1:11" x14ac:dyDescent="0.25">
      <c r="A117" s="32">
        <v>41000</v>
      </c>
      <c r="B117" s="33">
        <f>AVERAGE(Dados!B116:B118)</f>
        <v>140.47999999999999</v>
      </c>
      <c r="C117" s="33">
        <f>AVERAGE(Dados!C116:C118)</f>
        <v>138.75333333333333</v>
      </c>
      <c r="D117" s="33">
        <f>AVERAGE(Dados!D116:D118)</f>
        <v>151.64000000000001</v>
      </c>
      <c r="E117" s="33">
        <f>AVERAGE(Dados!E116:E118)</f>
        <v>137.99333333333334</v>
      </c>
      <c r="F117" s="33">
        <f>AVERAGE(Dados!F116:F118)</f>
        <v>148.42333333333332</v>
      </c>
      <c r="G117" s="33">
        <f>AVERAGE(Dados!G116:G118)</f>
        <v>121.77</v>
      </c>
      <c r="H117" s="33">
        <f>AVERAGE(Dados!H116:H118)</f>
        <v>137.74333333333331</v>
      </c>
      <c r="I117" s="33">
        <f>AVERAGE(Dados!I116:I118)</f>
        <v>131.39333333333335</v>
      </c>
      <c r="J117" s="33">
        <f>AVERAGE(Dados!J116:J118)</f>
        <v>140.81666666666666</v>
      </c>
      <c r="K117" s="33">
        <f>AVERAGE(Dados!K116:K118)</f>
        <v>140.22666666666669</v>
      </c>
    </row>
    <row r="118" spans="1:11" x14ac:dyDescent="0.25">
      <c r="A118" s="32">
        <v>41030</v>
      </c>
      <c r="B118" s="33">
        <f>AVERAGE(Dados!B117:B119)</f>
        <v>141.28333333333333</v>
      </c>
      <c r="C118" s="33">
        <f>AVERAGE(Dados!C117:C119)</f>
        <v>140.61000000000001</v>
      </c>
      <c r="D118" s="33">
        <f>AVERAGE(Dados!D117:D119)</f>
        <v>151.94999999999999</v>
      </c>
      <c r="E118" s="33">
        <f>AVERAGE(Dados!E117:E119)</f>
        <v>137.62333333333333</v>
      </c>
      <c r="F118" s="33">
        <f>AVERAGE(Dados!F117:F119)</f>
        <v>149.16333333333333</v>
      </c>
      <c r="G118" s="33">
        <f>AVERAGE(Dados!G117:G119)</f>
        <v>122.49000000000001</v>
      </c>
      <c r="H118" s="33">
        <f>AVERAGE(Dados!H117:H119)</f>
        <v>139.08666666666667</v>
      </c>
      <c r="I118" s="33">
        <f>AVERAGE(Dados!I117:I119)</f>
        <v>131.98333333333332</v>
      </c>
      <c r="J118" s="33">
        <f>AVERAGE(Dados!J117:J119)</f>
        <v>142.62333333333333</v>
      </c>
      <c r="K118" s="33">
        <f>AVERAGE(Dados!K117:K119)</f>
        <v>140.37666666666667</v>
      </c>
    </row>
    <row r="119" spans="1:11" x14ac:dyDescent="0.25">
      <c r="A119" s="32">
        <v>41061</v>
      </c>
      <c r="B119" s="33">
        <f>AVERAGE(Dados!B118:B120)</f>
        <v>142.53</v>
      </c>
      <c r="C119" s="33">
        <f>AVERAGE(Dados!C118:C120)</f>
        <v>143.18</v>
      </c>
      <c r="D119" s="33">
        <f>AVERAGE(Dados!D118:D120)</f>
        <v>152.66333333333333</v>
      </c>
      <c r="E119" s="33">
        <f>AVERAGE(Dados!E118:E120)</f>
        <v>137.53666666666666</v>
      </c>
      <c r="F119" s="33">
        <f>AVERAGE(Dados!F118:F120)</f>
        <v>149.36333333333334</v>
      </c>
      <c r="G119" s="33">
        <f>AVERAGE(Dados!G118:G120)</f>
        <v>126.09999999999998</v>
      </c>
      <c r="H119" s="33">
        <f>AVERAGE(Dados!H118:H120)</f>
        <v>140.57666666666668</v>
      </c>
      <c r="I119" s="33">
        <f>AVERAGE(Dados!I118:I120)</f>
        <v>132.34666666666666</v>
      </c>
      <c r="J119" s="33">
        <f>AVERAGE(Dados!J118:J120)</f>
        <v>145.26</v>
      </c>
      <c r="K119" s="33">
        <f>AVERAGE(Dados!K118:K120)</f>
        <v>140.27333333333334</v>
      </c>
    </row>
    <row r="120" spans="1:11" x14ac:dyDescent="0.25">
      <c r="A120" s="32">
        <v>41091</v>
      </c>
      <c r="B120" s="33">
        <f>AVERAGE(Dados!B119:B121)</f>
        <v>143.42666666666665</v>
      </c>
      <c r="C120" s="33">
        <f>AVERAGE(Dados!C119:C121)</f>
        <v>146.01</v>
      </c>
      <c r="D120" s="33">
        <f>AVERAGE(Dados!D119:D121)</f>
        <v>152.94333333333336</v>
      </c>
      <c r="E120" s="33">
        <f>AVERAGE(Dados!E119:E121)</f>
        <v>137.82</v>
      </c>
      <c r="F120" s="33">
        <f>AVERAGE(Dados!F119:F121)</f>
        <v>150.25666666666666</v>
      </c>
      <c r="G120" s="33">
        <f>AVERAGE(Dados!G119:G121)</f>
        <v>132.02666666666667</v>
      </c>
      <c r="H120" s="33">
        <f>AVERAGE(Dados!H119:H121)</f>
        <v>141.94666666666663</v>
      </c>
      <c r="I120" s="33">
        <f>AVERAGE(Dados!I119:I121)</f>
        <v>132.56333333333333</v>
      </c>
      <c r="J120" s="33">
        <f>AVERAGE(Dados!J119:J121)</f>
        <v>146.51</v>
      </c>
      <c r="K120" s="33">
        <f>AVERAGE(Dados!K119:K121)</f>
        <v>140.34666666666666</v>
      </c>
    </row>
    <row r="121" spans="1:11" x14ac:dyDescent="0.25">
      <c r="A121" s="32">
        <v>41122</v>
      </c>
      <c r="B121" s="33">
        <f>AVERAGE(Dados!B120:B122)</f>
        <v>143.97666666666666</v>
      </c>
      <c r="C121" s="33">
        <f>AVERAGE(Dados!C120:C122)</f>
        <v>146.41666666666666</v>
      </c>
      <c r="D121" s="33">
        <f>AVERAGE(Dados!D120:D122)</f>
        <v>153.35333333333332</v>
      </c>
      <c r="E121" s="33">
        <f>AVERAGE(Dados!E120:E122)</f>
        <v>138.04333333333332</v>
      </c>
      <c r="F121" s="33">
        <f>AVERAGE(Dados!F120:F122)</f>
        <v>151.53666666666666</v>
      </c>
      <c r="G121" s="33">
        <f>AVERAGE(Dados!G120:G122)</f>
        <v>134.14333333333335</v>
      </c>
      <c r="H121" s="33">
        <f>AVERAGE(Dados!H120:H122)</f>
        <v>142.67999999999998</v>
      </c>
      <c r="I121" s="33">
        <f>AVERAGE(Dados!I120:I122)</f>
        <v>132.89333333333335</v>
      </c>
      <c r="J121" s="33">
        <f>AVERAGE(Dados!J120:J122)</f>
        <v>147.43333333333331</v>
      </c>
      <c r="K121" s="33">
        <f>AVERAGE(Dados!K120:K122)</f>
        <v>139.95000000000002</v>
      </c>
    </row>
    <row r="122" spans="1:11" x14ac:dyDescent="0.25">
      <c r="A122" s="32">
        <v>41153</v>
      </c>
      <c r="B122" s="33">
        <f>AVERAGE(Dados!B121:B123)</f>
        <v>143.94333333333333</v>
      </c>
      <c r="C122" s="33">
        <f>AVERAGE(Dados!C121:C123)</f>
        <v>143.87666666666667</v>
      </c>
      <c r="D122" s="33">
        <f>AVERAGE(Dados!D121:D123)</f>
        <v>152.91</v>
      </c>
      <c r="E122" s="33">
        <f>AVERAGE(Dados!E121:E123)</f>
        <v>138.21333333333334</v>
      </c>
      <c r="F122" s="33">
        <f>AVERAGE(Dados!F121:F123)</f>
        <v>152.15333333333334</v>
      </c>
      <c r="G122" s="33">
        <f>AVERAGE(Dados!G121:G123)</f>
        <v>134.26999999999998</v>
      </c>
      <c r="H122" s="33">
        <f>AVERAGE(Dados!H121:H123)</f>
        <v>142.48666666666665</v>
      </c>
      <c r="I122" s="33">
        <f>AVERAGE(Dados!I121:I123)</f>
        <v>132.28</v>
      </c>
      <c r="J122" s="33">
        <f>AVERAGE(Dados!J121:J123)</f>
        <v>147.46666666666667</v>
      </c>
      <c r="K122" s="33">
        <f>AVERAGE(Dados!K121:K123)</f>
        <v>140.07000000000002</v>
      </c>
    </row>
    <row r="123" spans="1:11" x14ac:dyDescent="0.25">
      <c r="A123" s="32">
        <v>41183</v>
      </c>
      <c r="B123" s="33">
        <f>AVERAGE(Dados!B122:B124)</f>
        <v>144.13333333333333</v>
      </c>
      <c r="C123" s="33">
        <f>AVERAGE(Dados!C122:C124)</f>
        <v>141.91333333333333</v>
      </c>
      <c r="D123" s="33">
        <f>AVERAGE(Dados!D122:D124)</f>
        <v>153.13</v>
      </c>
      <c r="E123" s="33">
        <f>AVERAGE(Dados!E122:E124)</f>
        <v>138.71</v>
      </c>
      <c r="F123" s="33">
        <f>AVERAGE(Dados!F122:F124)</f>
        <v>152.63333333333333</v>
      </c>
      <c r="G123" s="33">
        <f>AVERAGE(Dados!G122:G124)</f>
        <v>134.19999999999999</v>
      </c>
      <c r="H123" s="33">
        <f>AVERAGE(Dados!H122:H124)</f>
        <v>142.16999999999999</v>
      </c>
      <c r="I123" s="33">
        <f>AVERAGE(Dados!I122:I124)</f>
        <v>132.29333333333332</v>
      </c>
      <c r="J123" s="33">
        <f>AVERAGE(Dados!J122:J124)</f>
        <v>147.42333333333332</v>
      </c>
      <c r="K123" s="33">
        <f>AVERAGE(Dados!K122:K124)</f>
        <v>140.50666666666669</v>
      </c>
    </row>
    <row r="124" spans="1:11" x14ac:dyDescent="0.25">
      <c r="A124" s="32">
        <v>41214</v>
      </c>
      <c r="B124" s="33">
        <f>AVERAGE(Dados!B123:B125)</f>
        <v>144.20666666666668</v>
      </c>
      <c r="C124" s="33">
        <f>AVERAGE(Dados!C123:C125)</f>
        <v>141.63666666666666</v>
      </c>
      <c r="D124" s="33">
        <f>AVERAGE(Dados!D123:D125)</f>
        <v>153.02000000000001</v>
      </c>
      <c r="E124" s="33">
        <f>AVERAGE(Dados!E123:E125)</f>
        <v>139.86333333333334</v>
      </c>
      <c r="F124" s="33">
        <f>AVERAGE(Dados!F123:F125)</f>
        <v>152.50666666666669</v>
      </c>
      <c r="G124" s="33">
        <f>AVERAGE(Dados!G123:G125)</f>
        <v>133.66999999999999</v>
      </c>
      <c r="H124" s="33">
        <f>AVERAGE(Dados!H123:H125)</f>
        <v>141.36666666666665</v>
      </c>
      <c r="I124" s="33">
        <f>AVERAGE(Dados!I123:I125)</f>
        <v>132.14666666666668</v>
      </c>
      <c r="J124" s="33">
        <f>AVERAGE(Dados!J123:J125)</f>
        <v>146.89000000000001</v>
      </c>
      <c r="K124" s="33">
        <f>AVERAGE(Dados!K123:K125)</f>
        <v>141.54000000000002</v>
      </c>
    </row>
    <row r="125" spans="1:11" x14ac:dyDescent="0.25">
      <c r="A125" s="32">
        <v>41244</v>
      </c>
      <c r="B125" s="33">
        <f>AVERAGE(Dados!B124:B126)</f>
        <v>144.43333333333337</v>
      </c>
      <c r="C125" s="33">
        <f>AVERAGE(Dados!C124:C126)</f>
        <v>142.01333333333335</v>
      </c>
      <c r="D125" s="33">
        <f>AVERAGE(Dados!D124:D126)</f>
        <v>153.04666666666665</v>
      </c>
      <c r="E125" s="33">
        <f>AVERAGE(Dados!E124:E126)</f>
        <v>140.27333333333334</v>
      </c>
      <c r="F125" s="33">
        <f>AVERAGE(Dados!F124:F126)</f>
        <v>153.47</v>
      </c>
      <c r="G125" s="33">
        <f>AVERAGE(Dados!G124:G126)</f>
        <v>134.13666666666668</v>
      </c>
      <c r="H125" s="33">
        <f>AVERAGE(Dados!H124:H126)</f>
        <v>141.41333333333333</v>
      </c>
      <c r="I125" s="33">
        <f>AVERAGE(Dados!I124:I126)</f>
        <v>133.24666666666667</v>
      </c>
      <c r="J125" s="33">
        <f>AVERAGE(Dados!J124:J126)</f>
        <v>147.24333333333334</v>
      </c>
      <c r="K125" s="33">
        <f>AVERAGE(Dados!K124:K126)</f>
        <v>142.6</v>
      </c>
    </row>
    <row r="126" spans="1:11" x14ac:dyDescent="0.25">
      <c r="A126" s="32">
        <v>41275</v>
      </c>
      <c r="B126" s="33">
        <f>AVERAGE(Dados!B125:B127)</f>
        <v>144.60000000000002</v>
      </c>
      <c r="C126" s="33">
        <f>AVERAGE(Dados!C125:C127)</f>
        <v>141.70000000000002</v>
      </c>
      <c r="D126" s="33">
        <f>AVERAGE(Dados!D125:D127)</f>
        <v>154.24</v>
      </c>
      <c r="E126" s="33">
        <f>AVERAGE(Dados!E125:E127)</f>
        <v>140.85999999999999</v>
      </c>
      <c r="F126" s="33">
        <f>AVERAGE(Dados!F125:F127)</f>
        <v>153.59666666666666</v>
      </c>
      <c r="G126" s="33">
        <f>AVERAGE(Dados!G125:G127)</f>
        <v>134.95000000000002</v>
      </c>
      <c r="H126" s="33">
        <f>AVERAGE(Dados!H125:H127)</f>
        <v>141.72999999999999</v>
      </c>
      <c r="I126" s="33">
        <f>AVERAGE(Dados!I125:I127)</f>
        <v>133.57</v>
      </c>
      <c r="J126" s="33">
        <f>AVERAGE(Dados!J125:J127)</f>
        <v>147.60333333333332</v>
      </c>
      <c r="K126" s="33">
        <f>AVERAGE(Dados!K125:K127)</f>
        <v>143.56333333333333</v>
      </c>
    </row>
    <row r="127" spans="1:11" x14ac:dyDescent="0.25">
      <c r="A127" s="32">
        <v>41306</v>
      </c>
      <c r="B127" s="33">
        <f>AVERAGE(Dados!B126:B128)</f>
        <v>144.41999999999999</v>
      </c>
      <c r="C127" s="33">
        <f>AVERAGE(Dados!C126:C128)</f>
        <v>141.54666666666665</v>
      </c>
      <c r="D127" s="33">
        <f>AVERAGE(Dados!D126:D128)</f>
        <v>154.82</v>
      </c>
      <c r="E127" s="33">
        <f>AVERAGE(Dados!E126:E128)</f>
        <v>140.48333333333335</v>
      </c>
      <c r="F127" s="33">
        <f>AVERAGE(Dados!F126:F128)</f>
        <v>154.30000000000001</v>
      </c>
      <c r="G127" s="33">
        <f>AVERAGE(Dados!G126:G128)</f>
        <v>136.84666666666666</v>
      </c>
      <c r="H127" s="33">
        <f>AVERAGE(Dados!H126:H128)</f>
        <v>142.54999999999998</v>
      </c>
      <c r="I127" s="33">
        <f>AVERAGE(Dados!I126:I128)</f>
        <v>133.84666666666666</v>
      </c>
      <c r="J127" s="33">
        <f>AVERAGE(Dados!J126:J128)</f>
        <v>149.17666666666665</v>
      </c>
      <c r="K127" s="33">
        <f>AVERAGE(Dados!K126:K128)</f>
        <v>144.27666666666667</v>
      </c>
    </row>
    <row r="128" spans="1:11" x14ac:dyDescent="0.25">
      <c r="A128" s="32">
        <v>41334</v>
      </c>
      <c r="B128" s="33">
        <f>AVERAGE(Dados!B127:B129)</f>
        <v>144.66666666666666</v>
      </c>
      <c r="C128" s="33">
        <f>AVERAGE(Dados!C127:C129)</f>
        <v>141.65999999999997</v>
      </c>
      <c r="D128" s="33">
        <f>AVERAGE(Dados!D127:D129)</f>
        <v>155.82666666666668</v>
      </c>
      <c r="E128" s="33">
        <f>AVERAGE(Dados!E127:E129)</f>
        <v>140.45333333333335</v>
      </c>
      <c r="F128" s="33">
        <f>AVERAGE(Dados!F127:F129)</f>
        <v>154.42666666666665</v>
      </c>
      <c r="G128" s="33">
        <f>AVERAGE(Dados!G127:G129)</f>
        <v>139.01333333333335</v>
      </c>
      <c r="H128" s="33">
        <f>AVERAGE(Dados!H127:H129)</f>
        <v>143.27333333333334</v>
      </c>
      <c r="I128" s="33">
        <f>AVERAGE(Dados!I127:I129)</f>
        <v>133.47666666666666</v>
      </c>
      <c r="J128" s="33">
        <f>AVERAGE(Dados!J127:J129)</f>
        <v>150.77666666666667</v>
      </c>
      <c r="K128" s="33">
        <f>AVERAGE(Dados!K127:K129)</f>
        <v>144.54</v>
      </c>
    </row>
    <row r="129" spans="1:11" x14ac:dyDescent="0.25">
      <c r="A129" s="32">
        <v>41365</v>
      </c>
      <c r="B129" s="33">
        <f>AVERAGE(Dados!B128:B130)</f>
        <v>145.03333333333333</v>
      </c>
      <c r="C129" s="33">
        <f>AVERAGE(Dados!C128:C130)</f>
        <v>142.09</v>
      </c>
      <c r="D129" s="33">
        <f>AVERAGE(Dados!D128:D130)</f>
        <v>155.63666666666666</v>
      </c>
      <c r="E129" s="33">
        <f>AVERAGE(Dados!E128:E130)</f>
        <v>140.60333333333335</v>
      </c>
      <c r="F129" s="33">
        <f>AVERAGE(Dados!F128:F130)</f>
        <v>154.90333333333334</v>
      </c>
      <c r="G129" s="33">
        <f>AVERAGE(Dados!G128:G130)</f>
        <v>141.56999999999996</v>
      </c>
      <c r="H129" s="33">
        <f>AVERAGE(Dados!H128:H130)</f>
        <v>144.47</v>
      </c>
      <c r="I129" s="33">
        <f>AVERAGE(Dados!I128:I130)</f>
        <v>133.54333333333332</v>
      </c>
      <c r="J129" s="33">
        <f>AVERAGE(Dados!J128:J130)</f>
        <v>152.50333333333333</v>
      </c>
      <c r="K129" s="33">
        <f>AVERAGE(Dados!K128:K130)</f>
        <v>144.47333333333333</v>
      </c>
    </row>
    <row r="130" spans="1:11" x14ac:dyDescent="0.25">
      <c r="A130" s="32">
        <v>41395</v>
      </c>
      <c r="B130" s="33">
        <f>AVERAGE(Dados!B129:B131)</f>
        <v>146.09333333333333</v>
      </c>
      <c r="C130" s="33">
        <f>AVERAGE(Dados!C129:C131)</f>
        <v>142.60333333333335</v>
      </c>
      <c r="D130" s="33">
        <f>AVERAGE(Dados!D129:D131)</f>
        <v>156.13333333333335</v>
      </c>
      <c r="E130" s="33">
        <f>AVERAGE(Dados!E129:E131)</f>
        <v>141.13666666666668</v>
      </c>
      <c r="F130" s="33">
        <f>AVERAGE(Dados!F129:F131)</f>
        <v>154.79666666666665</v>
      </c>
      <c r="G130" s="33">
        <f>AVERAGE(Dados!G129:G131)</f>
        <v>140.73000000000002</v>
      </c>
      <c r="H130" s="33">
        <f>AVERAGE(Dados!H129:H131)</f>
        <v>145.02666666666667</v>
      </c>
      <c r="I130" s="33">
        <f>AVERAGE(Dados!I129:I131)</f>
        <v>133.54</v>
      </c>
      <c r="J130" s="33">
        <f>AVERAGE(Dados!J129:J131)</f>
        <v>152.62666666666667</v>
      </c>
      <c r="K130" s="33">
        <f>AVERAGE(Dados!K129:K131)</f>
        <v>144.48333333333335</v>
      </c>
    </row>
    <row r="131" spans="1:11" x14ac:dyDescent="0.25">
      <c r="A131" s="32">
        <v>41426</v>
      </c>
      <c r="B131" s="33">
        <f>AVERAGE(Dados!B130:B132)</f>
        <v>146.54</v>
      </c>
      <c r="C131" s="33">
        <f>AVERAGE(Dados!C130:C132)</f>
        <v>144.04333333333332</v>
      </c>
      <c r="D131" s="33">
        <f>AVERAGE(Dados!D130:D132)</f>
        <v>156.29</v>
      </c>
      <c r="E131" s="33">
        <f>AVERAGE(Dados!E130:E132)</f>
        <v>141.88</v>
      </c>
      <c r="F131" s="33">
        <f>AVERAGE(Dados!F130:F132)</f>
        <v>155.27333333333334</v>
      </c>
      <c r="G131" s="33">
        <f>AVERAGE(Dados!G130:G132)</f>
        <v>140.01</v>
      </c>
      <c r="H131" s="33">
        <f>AVERAGE(Dados!H130:H132)</f>
        <v>146.46333333333334</v>
      </c>
      <c r="I131" s="33">
        <f>AVERAGE(Dados!I130:I132)</f>
        <v>133.74</v>
      </c>
      <c r="J131" s="33">
        <f>AVERAGE(Dados!J130:J132)</f>
        <v>152.41666666666666</v>
      </c>
      <c r="K131" s="33">
        <f>AVERAGE(Dados!K130:K132)</f>
        <v>144.85</v>
      </c>
    </row>
    <row r="132" spans="1:11" x14ac:dyDescent="0.25">
      <c r="A132" s="32">
        <v>41456</v>
      </c>
      <c r="B132" s="33">
        <f>AVERAGE(Dados!B131:B133)</f>
        <v>146.83333333333334</v>
      </c>
      <c r="C132" s="33">
        <f>AVERAGE(Dados!C131:C133)</f>
        <v>144.51000000000002</v>
      </c>
      <c r="D132" s="33">
        <f>AVERAGE(Dados!D131:D133)</f>
        <v>156.22</v>
      </c>
      <c r="E132" s="33">
        <f>AVERAGE(Dados!E131:E133)</f>
        <v>141.81</v>
      </c>
      <c r="F132" s="33">
        <f>AVERAGE(Dados!F131:F133)</f>
        <v>155.24666666666664</v>
      </c>
      <c r="G132" s="33">
        <f>AVERAGE(Dados!G131:G133)</f>
        <v>138.32333333333335</v>
      </c>
      <c r="H132" s="33">
        <f>AVERAGE(Dados!H131:H133)</f>
        <v>147.18666666666667</v>
      </c>
      <c r="I132" s="33">
        <f>AVERAGE(Dados!I131:I133)</f>
        <v>133.54666666666665</v>
      </c>
      <c r="J132" s="33">
        <f>AVERAGE(Dados!J131:J133)</f>
        <v>152.1</v>
      </c>
      <c r="K132" s="33">
        <f>AVERAGE(Dados!K131:K133)</f>
        <v>145.73333333333332</v>
      </c>
    </row>
    <row r="133" spans="1:11" x14ac:dyDescent="0.25">
      <c r="A133" s="32">
        <v>41487</v>
      </c>
      <c r="B133" s="33">
        <f>AVERAGE(Dados!B132:B134)</f>
        <v>146.75333333333333</v>
      </c>
      <c r="C133" s="33">
        <f>AVERAGE(Dados!C132:C134)</f>
        <v>144.50000000000003</v>
      </c>
      <c r="D133" s="33">
        <f>AVERAGE(Dados!D132:D134)</f>
        <v>156.21</v>
      </c>
      <c r="E133" s="33">
        <f>AVERAGE(Dados!E132:E134)</f>
        <v>141.66333333333333</v>
      </c>
      <c r="F133" s="33">
        <f>AVERAGE(Dados!F132:F134)</f>
        <v>155.6</v>
      </c>
      <c r="G133" s="33">
        <f>AVERAGE(Dados!G132:G134)</f>
        <v>138.56333333333333</v>
      </c>
      <c r="H133" s="33">
        <f>AVERAGE(Dados!H132:H134)</f>
        <v>148.14666666666668</v>
      </c>
      <c r="I133" s="33">
        <f>AVERAGE(Dados!I132:I134)</f>
        <v>133.46666666666667</v>
      </c>
      <c r="J133" s="33">
        <f>AVERAGE(Dados!J132:J134)</f>
        <v>152.34333333333333</v>
      </c>
      <c r="K133" s="33">
        <f>AVERAGE(Dados!K132:K134)</f>
        <v>147.24</v>
      </c>
    </row>
    <row r="134" spans="1:11" x14ac:dyDescent="0.25">
      <c r="A134" s="32">
        <v>41518</v>
      </c>
      <c r="B134" s="33">
        <f>AVERAGE(Dados!B133:B135)</f>
        <v>147.39333333333332</v>
      </c>
      <c r="C134" s="33">
        <f>AVERAGE(Dados!C133:C135)</f>
        <v>143.66666666666666</v>
      </c>
      <c r="D134" s="33">
        <f>AVERAGE(Dados!D133:D135)</f>
        <v>155.78</v>
      </c>
      <c r="E134" s="33">
        <f>AVERAGE(Dados!E133:E135)</f>
        <v>142.01333333333332</v>
      </c>
      <c r="F134" s="33">
        <f>AVERAGE(Dados!F133:F135)</f>
        <v>155.58333333333334</v>
      </c>
      <c r="G134" s="33">
        <f>AVERAGE(Dados!G133:G135)</f>
        <v>138.95333333333335</v>
      </c>
      <c r="H134" s="33">
        <f>AVERAGE(Dados!H133:H135)</f>
        <v>148.44666666666669</v>
      </c>
      <c r="I134" s="33">
        <f>AVERAGE(Dados!I133:I135)</f>
        <v>133.79999999999998</v>
      </c>
      <c r="J134" s="33">
        <f>AVERAGE(Dados!J133:J135)</f>
        <v>152.61666666666667</v>
      </c>
      <c r="K134" s="33">
        <f>AVERAGE(Dados!K133:K135)</f>
        <v>148.02000000000001</v>
      </c>
    </row>
    <row r="135" spans="1:11" x14ac:dyDescent="0.25">
      <c r="A135" s="32">
        <v>41548</v>
      </c>
      <c r="B135" s="33">
        <f>AVERAGE(Dados!B134:B136)</f>
        <v>147.61333333333334</v>
      </c>
      <c r="C135" s="33">
        <f>AVERAGE(Dados!C134:C136)</f>
        <v>143.23666666666668</v>
      </c>
      <c r="D135" s="33">
        <f>AVERAGE(Dados!D134:D136)</f>
        <v>155.60000000000002</v>
      </c>
      <c r="E135" s="33">
        <f>AVERAGE(Dados!E134:E136)</f>
        <v>142.89333333333332</v>
      </c>
      <c r="F135" s="33">
        <f>AVERAGE(Dados!F134:F136)</f>
        <v>155.51333333333332</v>
      </c>
      <c r="G135" s="33">
        <f>AVERAGE(Dados!G134:G136)</f>
        <v>139.66</v>
      </c>
      <c r="H135" s="33">
        <f>AVERAGE(Dados!H134:H136)</f>
        <v>148.72333333333333</v>
      </c>
      <c r="I135" s="33">
        <f>AVERAGE(Dados!I134:I136)</f>
        <v>134.16333333333333</v>
      </c>
      <c r="J135" s="33">
        <f>AVERAGE(Dados!J134:J136)</f>
        <v>152.60666666666665</v>
      </c>
      <c r="K135" s="33">
        <f>AVERAGE(Dados!K134:K136)</f>
        <v>147.47</v>
      </c>
    </row>
    <row r="136" spans="1:11" x14ac:dyDescent="0.25">
      <c r="A136" s="32">
        <v>41579</v>
      </c>
      <c r="B136" s="33">
        <f>AVERAGE(Dados!B135:B137)</f>
        <v>148.04999999999998</v>
      </c>
      <c r="C136" s="33">
        <f>AVERAGE(Dados!C135:C137)</f>
        <v>143.43666666666664</v>
      </c>
      <c r="D136" s="33">
        <f>AVERAGE(Dados!D135:D137)</f>
        <v>155.06333333333333</v>
      </c>
      <c r="E136" s="33">
        <f>AVERAGE(Dados!E135:E137)</f>
        <v>143.70666666666665</v>
      </c>
      <c r="F136" s="33">
        <f>AVERAGE(Dados!F135:F137)</f>
        <v>155.73666666666668</v>
      </c>
      <c r="G136" s="33">
        <f>AVERAGE(Dados!G135:G137)</f>
        <v>140.43333333333331</v>
      </c>
      <c r="H136" s="33">
        <f>AVERAGE(Dados!H135:H137)</f>
        <v>148.79333333333332</v>
      </c>
      <c r="I136" s="33">
        <f>AVERAGE(Dados!I135:I137)</f>
        <v>134.58666666666667</v>
      </c>
      <c r="J136" s="33">
        <f>AVERAGE(Dados!J135:J137)</f>
        <v>152.96333333333334</v>
      </c>
      <c r="K136" s="33">
        <f>AVERAGE(Dados!K135:K137)</f>
        <v>146.65666666666667</v>
      </c>
    </row>
    <row r="137" spans="1:11" x14ac:dyDescent="0.25">
      <c r="A137" s="32">
        <v>41609</v>
      </c>
      <c r="B137" s="33">
        <f>AVERAGE(Dados!B136:B138)</f>
        <v>148.22333333333333</v>
      </c>
      <c r="C137" s="33">
        <f>AVERAGE(Dados!C136:C138)</f>
        <v>142.66333333333333</v>
      </c>
      <c r="D137" s="33">
        <f>AVERAGE(Dados!D136:D138)</f>
        <v>156.04666666666665</v>
      </c>
      <c r="E137" s="33">
        <f>AVERAGE(Dados!E136:E138)</f>
        <v>143.54333333333332</v>
      </c>
      <c r="F137" s="33">
        <f>AVERAGE(Dados!F136:F138)</f>
        <v>155.24</v>
      </c>
      <c r="G137" s="33">
        <f>AVERAGE(Dados!G136:G138)</f>
        <v>140.31000000000003</v>
      </c>
      <c r="H137" s="33">
        <f>AVERAGE(Dados!H136:H138)</f>
        <v>148.16999999999999</v>
      </c>
      <c r="I137" s="33">
        <f>AVERAGE(Dados!I136:I138)</f>
        <v>134.36333333333334</v>
      </c>
      <c r="J137" s="33">
        <f>AVERAGE(Dados!J136:J138)</f>
        <v>152.99333333333334</v>
      </c>
      <c r="K137" s="33">
        <f>AVERAGE(Dados!K136:K138)</f>
        <v>146.04</v>
      </c>
    </row>
    <row r="138" spans="1:11" x14ac:dyDescent="0.25">
      <c r="A138" s="32">
        <v>41640</v>
      </c>
      <c r="B138" s="33">
        <f>AVERAGE(Dados!B137:B139)</f>
        <v>148.5</v>
      </c>
      <c r="C138" s="33">
        <f>AVERAGE(Dados!C137:C139)</f>
        <v>143.55666666666664</v>
      </c>
      <c r="D138" s="33">
        <f>AVERAGE(Dados!D137:D139)</f>
        <v>157.88</v>
      </c>
      <c r="E138" s="33">
        <f>AVERAGE(Dados!E137:E139)</f>
        <v>143.14333333333335</v>
      </c>
      <c r="F138" s="33">
        <f>AVERAGE(Dados!F137:F139)</f>
        <v>155.4</v>
      </c>
      <c r="G138" s="33">
        <f>AVERAGE(Dados!G137:G139)</f>
        <v>140.8066666666667</v>
      </c>
      <c r="H138" s="33">
        <f>AVERAGE(Dados!H137:H139)</f>
        <v>147.81</v>
      </c>
      <c r="I138" s="33">
        <f>AVERAGE(Dados!I137:I139)</f>
        <v>134.69</v>
      </c>
      <c r="J138" s="33">
        <f>AVERAGE(Dados!J137:J139)</f>
        <v>153.73666666666668</v>
      </c>
      <c r="K138" s="33">
        <f>AVERAGE(Dados!K137:K139)</f>
        <v>147.34666666666666</v>
      </c>
    </row>
    <row r="139" spans="1:11" x14ac:dyDescent="0.25">
      <c r="A139" s="32">
        <v>41671</v>
      </c>
      <c r="B139" s="33">
        <f>AVERAGE(Dados!B138:B140)</f>
        <v>148.38</v>
      </c>
      <c r="C139" s="33">
        <f>AVERAGE(Dados!C138:C140)</f>
        <v>143.97333333333333</v>
      </c>
      <c r="D139" s="33">
        <f>AVERAGE(Dados!D138:D140)</f>
        <v>159.11666666666667</v>
      </c>
      <c r="E139" s="33">
        <f>AVERAGE(Dados!E138:E140)</f>
        <v>143.17666666666668</v>
      </c>
      <c r="F139" s="33">
        <f>AVERAGE(Dados!F138:F140)</f>
        <v>155.16999999999999</v>
      </c>
      <c r="G139" s="33">
        <f>AVERAGE(Dados!G138:G140)</f>
        <v>141.37</v>
      </c>
      <c r="H139" s="33">
        <f>AVERAGE(Dados!H138:H140)</f>
        <v>148.16</v>
      </c>
      <c r="I139" s="33">
        <f>AVERAGE(Dados!I138:I140)</f>
        <v>135.13666666666666</v>
      </c>
      <c r="J139" s="33">
        <f>AVERAGE(Dados!J138:J140)</f>
        <v>153.81</v>
      </c>
      <c r="K139" s="33">
        <f>AVERAGE(Dados!K138:K140)</f>
        <v>148.36666666666667</v>
      </c>
    </row>
    <row r="140" spans="1:11" x14ac:dyDescent="0.25">
      <c r="A140" s="32">
        <v>41699</v>
      </c>
      <c r="B140" s="33">
        <f>AVERAGE(Dados!B139:B141)</f>
        <v>148.14666666666668</v>
      </c>
      <c r="C140" s="33">
        <f>AVERAGE(Dados!C139:C141)</f>
        <v>145.26666666666668</v>
      </c>
      <c r="D140" s="33">
        <f>AVERAGE(Dados!D139:D141)</f>
        <v>159.56000000000003</v>
      </c>
      <c r="E140" s="33">
        <f>AVERAGE(Dados!E139:E141)</f>
        <v>143.51</v>
      </c>
      <c r="F140" s="33">
        <f>AVERAGE(Dados!F139:F141)</f>
        <v>155.16666666666666</v>
      </c>
      <c r="G140" s="33">
        <f>AVERAGE(Dados!G139:G141)</f>
        <v>139.87</v>
      </c>
      <c r="H140" s="33">
        <f>AVERAGE(Dados!H139:H141)</f>
        <v>148.91</v>
      </c>
      <c r="I140" s="33">
        <f>AVERAGE(Dados!I139:I141)</f>
        <v>136.25</v>
      </c>
      <c r="J140" s="33">
        <f>AVERAGE(Dados!J139:J141)</f>
        <v>153.69666666666669</v>
      </c>
      <c r="K140" s="33">
        <f>AVERAGE(Dados!K139:K141)</f>
        <v>149.38000000000002</v>
      </c>
    </row>
    <row r="141" spans="1:11" x14ac:dyDescent="0.25">
      <c r="A141" s="32">
        <v>41730</v>
      </c>
      <c r="B141" s="33">
        <f>AVERAGE(Dados!B140:B142)</f>
        <v>147.66999999999999</v>
      </c>
      <c r="C141" s="33">
        <f>AVERAGE(Dados!C140:C142)</f>
        <v>144.57333333333335</v>
      </c>
      <c r="D141" s="33">
        <f>AVERAGE(Dados!D140:D142)</f>
        <v>158.61000000000001</v>
      </c>
      <c r="E141" s="33">
        <f>AVERAGE(Dados!E140:E142)</f>
        <v>144.00666666666669</v>
      </c>
      <c r="F141" s="33">
        <f>AVERAGE(Dados!F140:F142)</f>
        <v>155.22333333333333</v>
      </c>
      <c r="G141" s="33">
        <f>AVERAGE(Dados!G140:G142)</f>
        <v>136.16999999999999</v>
      </c>
      <c r="H141" s="33">
        <f>AVERAGE(Dados!H140:H142)</f>
        <v>149.04</v>
      </c>
      <c r="I141" s="33">
        <f>AVERAGE(Dados!I140:I142)</f>
        <v>136.12333333333331</v>
      </c>
      <c r="J141" s="33">
        <f>AVERAGE(Dados!J140:J142)</f>
        <v>152.22666666666669</v>
      </c>
      <c r="K141" s="33">
        <f>AVERAGE(Dados!K140:K142)</f>
        <v>149.81333333333336</v>
      </c>
    </row>
    <row r="142" spans="1:11" x14ac:dyDescent="0.25">
      <c r="A142" s="32">
        <v>41760</v>
      </c>
      <c r="B142" s="33">
        <f>AVERAGE(Dados!B141:B143)</f>
        <v>147.17666666666665</v>
      </c>
      <c r="C142" s="33">
        <f>AVERAGE(Dados!C141:C143)</f>
        <v>143.53333333333333</v>
      </c>
      <c r="D142" s="33">
        <f>AVERAGE(Dados!D141:D143)</f>
        <v>158.89666666666668</v>
      </c>
      <c r="E142" s="33">
        <f>AVERAGE(Dados!E141:E143)</f>
        <v>144.66666666666666</v>
      </c>
      <c r="F142" s="33">
        <f>AVERAGE(Dados!F141:F143)</f>
        <v>155.30666666666664</v>
      </c>
      <c r="G142" s="33">
        <f>AVERAGE(Dados!G141:G143)</f>
        <v>134.82666666666668</v>
      </c>
      <c r="H142" s="33">
        <f>AVERAGE(Dados!H141:H143)</f>
        <v>149.35666666666665</v>
      </c>
      <c r="I142" s="33">
        <f>AVERAGE(Dados!I141:I143)</f>
        <v>135.64333333333335</v>
      </c>
      <c r="J142" s="33">
        <f>AVERAGE(Dados!J141:J143)</f>
        <v>151.53333333333333</v>
      </c>
      <c r="K142" s="33">
        <f>AVERAGE(Dados!K141:K143)</f>
        <v>149.82666666666668</v>
      </c>
    </row>
    <row r="143" spans="1:11" x14ac:dyDescent="0.25">
      <c r="A143" s="32">
        <v>41791</v>
      </c>
      <c r="B143" s="33">
        <f>AVERAGE(Dados!B142:B144)</f>
        <v>145.77666666666667</v>
      </c>
      <c r="C143" s="33">
        <f>AVERAGE(Dados!C142:C144)</f>
        <v>142.16999999999999</v>
      </c>
      <c r="D143" s="33">
        <f>AVERAGE(Dados!D142:D144)</f>
        <v>157.75</v>
      </c>
      <c r="E143" s="33">
        <f>AVERAGE(Dados!E142:E144)</f>
        <v>144.48666666666668</v>
      </c>
      <c r="F143" s="33">
        <f>AVERAGE(Dados!F142:F144)</f>
        <v>155.14666666666665</v>
      </c>
      <c r="G143" s="33">
        <f>AVERAGE(Dados!G142:G144)</f>
        <v>136.30333333333331</v>
      </c>
      <c r="H143" s="33">
        <f>AVERAGE(Dados!H142:H144)</f>
        <v>148.19000000000003</v>
      </c>
      <c r="I143" s="33">
        <f>AVERAGE(Dados!I142:I144)</f>
        <v>134.92666666666665</v>
      </c>
      <c r="J143" s="33">
        <f>AVERAGE(Dados!J142:J144)</f>
        <v>150.16999999999999</v>
      </c>
      <c r="K143" s="33">
        <f>AVERAGE(Dados!K142:K144)</f>
        <v>150.02000000000001</v>
      </c>
    </row>
    <row r="144" spans="1:11" x14ac:dyDescent="0.25">
      <c r="A144" s="32">
        <v>41821</v>
      </c>
      <c r="B144" s="33">
        <f>AVERAGE(Dados!B143:B145)</f>
        <v>144.98999999999998</v>
      </c>
      <c r="C144" s="33">
        <f>AVERAGE(Dados!C143:C145)</f>
        <v>140.38333333333333</v>
      </c>
      <c r="D144" s="33">
        <f>AVERAGE(Dados!D143:D145)</f>
        <v>157.11666666666667</v>
      </c>
      <c r="E144" s="33">
        <f>AVERAGE(Dados!E143:E145)</f>
        <v>145.20666666666668</v>
      </c>
      <c r="F144" s="33">
        <f>AVERAGE(Dados!F143:F145)</f>
        <v>154.62</v>
      </c>
      <c r="G144" s="33">
        <f>AVERAGE(Dados!G143:G145)</f>
        <v>139.28666666666666</v>
      </c>
      <c r="H144" s="33">
        <f>AVERAGE(Dados!H143:H145)</f>
        <v>148.49333333333334</v>
      </c>
      <c r="I144" s="33">
        <f>AVERAGE(Dados!I143:I145)</f>
        <v>135.16</v>
      </c>
      <c r="J144" s="33">
        <f>AVERAGE(Dados!J143:J145)</f>
        <v>150.05999999999997</v>
      </c>
      <c r="K144" s="33">
        <f>AVERAGE(Dados!K143:K145)</f>
        <v>150.13333333333333</v>
      </c>
    </row>
    <row r="145" spans="1:11" x14ac:dyDescent="0.25">
      <c r="A145" s="32">
        <v>41852</v>
      </c>
      <c r="B145" s="33">
        <f>AVERAGE(Dados!B144:B146)</f>
        <v>144.70666666666668</v>
      </c>
      <c r="C145" s="33">
        <f>AVERAGE(Dados!C144:C146)</f>
        <v>140.72333333333333</v>
      </c>
      <c r="D145" s="33">
        <f>AVERAGE(Dados!D144:D146)</f>
        <v>156.59</v>
      </c>
      <c r="E145" s="33">
        <f>AVERAGE(Dados!E144:E146)</f>
        <v>146.09333333333333</v>
      </c>
      <c r="F145" s="33">
        <f>AVERAGE(Dados!F144:F146)</f>
        <v>154.03</v>
      </c>
      <c r="G145" s="33">
        <f>AVERAGE(Dados!G144:G146)</f>
        <v>140.66333333333333</v>
      </c>
      <c r="H145" s="33">
        <f>AVERAGE(Dados!H144:H146)</f>
        <v>148.37333333333333</v>
      </c>
      <c r="I145" s="33">
        <f>AVERAGE(Dados!I144:I146)</f>
        <v>135.63333333333335</v>
      </c>
      <c r="J145" s="33">
        <f>AVERAGE(Dados!J144:J146)</f>
        <v>150.46</v>
      </c>
      <c r="K145" s="33">
        <f>AVERAGE(Dados!K144:K146)</f>
        <v>150.41666666666666</v>
      </c>
    </row>
    <row r="146" spans="1:11" x14ac:dyDescent="0.25">
      <c r="A146" s="32">
        <v>41883</v>
      </c>
      <c r="B146" s="33">
        <f>AVERAGE(Dados!B145:B147)</f>
        <v>145.39666666666665</v>
      </c>
      <c r="C146" s="33">
        <f>AVERAGE(Dados!C145:C147)</f>
        <v>141.67666666666668</v>
      </c>
      <c r="D146" s="33">
        <f>AVERAGE(Dados!D145:D147)</f>
        <v>157.70666666666668</v>
      </c>
      <c r="E146" s="33">
        <f>AVERAGE(Dados!E145:E147)</f>
        <v>148.05333333333331</v>
      </c>
      <c r="F146" s="33">
        <f>AVERAGE(Dados!F145:F147)</f>
        <v>153.98333333333335</v>
      </c>
      <c r="G146" s="33">
        <f>AVERAGE(Dados!G145:G147)</f>
        <v>142.4</v>
      </c>
      <c r="H146" s="33">
        <f>AVERAGE(Dados!H145:H147)</f>
        <v>150.58000000000001</v>
      </c>
      <c r="I146" s="33">
        <f>AVERAGE(Dados!I145:I147)</f>
        <v>135.90666666666667</v>
      </c>
      <c r="J146" s="33">
        <f>AVERAGE(Dados!J145:J147)</f>
        <v>152.39333333333332</v>
      </c>
      <c r="K146" s="33">
        <f>AVERAGE(Dados!K145:K147)</f>
        <v>150.67333333333332</v>
      </c>
    </row>
    <row r="147" spans="1:11" x14ac:dyDescent="0.25">
      <c r="A147" s="32">
        <v>41913</v>
      </c>
      <c r="B147" s="33">
        <f>AVERAGE(Dados!B146:B148)</f>
        <v>145.41999999999999</v>
      </c>
      <c r="C147" s="33">
        <f>AVERAGE(Dados!C146:C148)</f>
        <v>143.18333333333334</v>
      </c>
      <c r="D147" s="33">
        <f>AVERAGE(Dados!D146:D148)</f>
        <v>158.10666666666665</v>
      </c>
      <c r="E147" s="33">
        <f>AVERAGE(Dados!E146:E148)</f>
        <v>147.83000000000001</v>
      </c>
      <c r="F147" s="33">
        <f>AVERAGE(Dados!F146:F148)</f>
        <v>154.17999999999998</v>
      </c>
      <c r="G147" s="33">
        <f>AVERAGE(Dados!G146:G148)</f>
        <v>143.66666666666666</v>
      </c>
      <c r="H147" s="33">
        <f>AVERAGE(Dados!H146:H148)</f>
        <v>151.46666666666667</v>
      </c>
      <c r="I147" s="33">
        <f>AVERAGE(Dados!I146:I148)</f>
        <v>136.10333333333335</v>
      </c>
      <c r="J147" s="33">
        <f>AVERAGE(Dados!J146:J148)</f>
        <v>154.13</v>
      </c>
      <c r="K147" s="33">
        <f>AVERAGE(Dados!K146:K148)</f>
        <v>150.33000000000001</v>
      </c>
    </row>
    <row r="148" spans="1:11" x14ac:dyDescent="0.25">
      <c r="A148" s="32">
        <v>41944</v>
      </c>
      <c r="B148" s="33">
        <f>AVERAGE(Dados!B147:B149)</f>
        <v>145.37333333333333</v>
      </c>
      <c r="C148" s="33">
        <f>AVERAGE(Dados!C147:C149)</f>
        <v>142.97333333333333</v>
      </c>
      <c r="D148" s="33">
        <f>AVERAGE(Dados!D147:D149)</f>
        <v>158.04</v>
      </c>
      <c r="E148" s="33">
        <f>AVERAGE(Dados!E147:E149)</f>
        <v>146.81666666666663</v>
      </c>
      <c r="F148" s="33">
        <f>AVERAGE(Dados!F147:F149)</f>
        <v>154.08333333333334</v>
      </c>
      <c r="G148" s="33">
        <f>AVERAGE(Dados!G147:G149)</f>
        <v>143.52333333333334</v>
      </c>
      <c r="H148" s="33">
        <f>AVERAGE(Dados!H147:H149)</f>
        <v>151.59666666666666</v>
      </c>
      <c r="I148" s="33">
        <f>AVERAGE(Dados!I147:I149)</f>
        <v>136.24666666666667</v>
      </c>
      <c r="J148" s="33">
        <f>AVERAGE(Dados!J147:J149)</f>
        <v>154.83333333333334</v>
      </c>
      <c r="K148" s="33">
        <f>AVERAGE(Dados!K147:K149)</f>
        <v>150.16666666666666</v>
      </c>
    </row>
    <row r="149" spans="1:11" x14ac:dyDescent="0.25">
      <c r="A149" s="32">
        <v>41974</v>
      </c>
      <c r="B149" s="33">
        <f>AVERAGE(Dados!B148:B150)</f>
        <v>145.5566666666667</v>
      </c>
      <c r="C149" s="33">
        <f>AVERAGE(Dados!C148:C150)</f>
        <v>141.92666666666668</v>
      </c>
      <c r="D149" s="33">
        <f>AVERAGE(Dados!D148:D150)</f>
        <v>157.33333333333334</v>
      </c>
      <c r="E149" s="33">
        <f>AVERAGE(Dados!E148:E150)</f>
        <v>145.77000000000001</v>
      </c>
      <c r="F149" s="33">
        <f>AVERAGE(Dados!F148:F150)</f>
        <v>153.66333333333333</v>
      </c>
      <c r="G149" s="33">
        <f>AVERAGE(Dados!G148:G150)</f>
        <v>142.01000000000002</v>
      </c>
      <c r="H149" s="33">
        <f>AVERAGE(Dados!H148:H150)</f>
        <v>150.0633333333333</v>
      </c>
      <c r="I149" s="33">
        <f>AVERAGE(Dados!I148:I150)</f>
        <v>136.40333333333334</v>
      </c>
      <c r="J149" s="33">
        <f>AVERAGE(Dados!J148:J150)</f>
        <v>155.33666666666667</v>
      </c>
      <c r="K149" s="33">
        <f>AVERAGE(Dados!K148:K150)</f>
        <v>149.85666666666668</v>
      </c>
    </row>
    <row r="150" spans="1:11" x14ac:dyDescent="0.25">
      <c r="A150" s="32">
        <v>42005</v>
      </c>
      <c r="B150" s="33">
        <f>AVERAGE(Dados!B149:B151)</f>
        <v>145.73000000000002</v>
      </c>
      <c r="C150" s="33">
        <f>AVERAGE(Dados!C149:C151)</f>
        <v>141.71333333333334</v>
      </c>
      <c r="D150" s="33">
        <f>AVERAGE(Dados!D149:D151)</f>
        <v>158.78333333333333</v>
      </c>
      <c r="E150" s="33">
        <f>AVERAGE(Dados!E149:E151)</f>
        <v>145.37333333333333</v>
      </c>
      <c r="F150" s="33">
        <f>AVERAGE(Dados!F149:F151)</f>
        <v>153.44666666666669</v>
      </c>
      <c r="G150" s="33">
        <f>AVERAGE(Dados!G149:G151)</f>
        <v>139.93999999999997</v>
      </c>
      <c r="H150" s="33">
        <f>AVERAGE(Dados!H149:H151)</f>
        <v>148.97</v>
      </c>
      <c r="I150" s="33">
        <f>AVERAGE(Dados!I149:I151)</f>
        <v>136.92333333333332</v>
      </c>
      <c r="J150" s="33">
        <f>AVERAGE(Dados!J149:J151)</f>
        <v>154.42333333333332</v>
      </c>
      <c r="K150" s="33">
        <f>AVERAGE(Dados!K149:K151)</f>
        <v>149.52333333333334</v>
      </c>
    </row>
    <row r="151" spans="1:11" x14ac:dyDescent="0.25">
      <c r="A151" s="32">
        <v>42036</v>
      </c>
      <c r="B151" s="33">
        <f>AVERAGE(Dados!B150:B152)</f>
        <v>145.46</v>
      </c>
      <c r="C151" s="33">
        <f>AVERAGE(Dados!C150:C152)</f>
        <v>141.66333333333333</v>
      </c>
      <c r="D151" s="33">
        <f>AVERAGE(Dados!D150:D152)</f>
        <v>159.65666666666667</v>
      </c>
      <c r="E151" s="33">
        <f>AVERAGE(Dados!E150:E152)</f>
        <v>144.83666666666667</v>
      </c>
      <c r="F151" s="33">
        <f>AVERAGE(Dados!F150:F152)</f>
        <v>154.04666666666665</v>
      </c>
      <c r="G151" s="33">
        <f>AVERAGE(Dados!G150:G152)</f>
        <v>139.05000000000001</v>
      </c>
      <c r="H151" s="33">
        <f>AVERAGE(Dados!H150:H152)</f>
        <v>148.39333333333332</v>
      </c>
      <c r="I151" s="33">
        <f>AVERAGE(Dados!I150:I152)</f>
        <v>137.15333333333334</v>
      </c>
      <c r="J151" s="33">
        <f>AVERAGE(Dados!J150:J152)</f>
        <v>154.14666666666668</v>
      </c>
      <c r="K151" s="33">
        <f>AVERAGE(Dados!K150:K152)</f>
        <v>148.51666666666668</v>
      </c>
    </row>
    <row r="152" spans="1:11" x14ac:dyDescent="0.25">
      <c r="A152" s="32">
        <v>42064</v>
      </c>
      <c r="B152" s="33">
        <f>AVERAGE(Dados!B151:B153)</f>
        <v>144.71666666666667</v>
      </c>
      <c r="C152" s="33">
        <f>AVERAGE(Dados!C151:C153)</f>
        <v>141.51</v>
      </c>
      <c r="D152" s="33">
        <f>AVERAGE(Dados!D151:D153)</f>
        <v>160.25666666666669</v>
      </c>
      <c r="E152" s="33">
        <f>AVERAGE(Dados!E151:E153)</f>
        <v>143.92333333333332</v>
      </c>
      <c r="F152" s="33">
        <f>AVERAGE(Dados!F151:F153)</f>
        <v>153.86666666666667</v>
      </c>
      <c r="G152" s="33">
        <f>AVERAGE(Dados!G151:G153)</f>
        <v>139.6866666666667</v>
      </c>
      <c r="H152" s="33">
        <f>AVERAGE(Dados!H151:H153)</f>
        <v>148.45666666666668</v>
      </c>
      <c r="I152" s="33">
        <f>AVERAGE(Dados!I151:I153)</f>
        <v>137.23999999999998</v>
      </c>
      <c r="J152" s="33">
        <f>AVERAGE(Dados!J151:J153)</f>
        <v>154.85666666666665</v>
      </c>
      <c r="K152" s="33">
        <f>AVERAGE(Dados!K151:K153)</f>
        <v>148.51000000000002</v>
      </c>
    </row>
    <row r="153" spans="1:11" x14ac:dyDescent="0.25">
      <c r="A153" s="32">
        <v>42095</v>
      </c>
      <c r="B153" s="33">
        <f>AVERAGE(Dados!B152:B154)</f>
        <v>143.86000000000001</v>
      </c>
      <c r="C153" s="33">
        <f>AVERAGE(Dados!C152:C154)</f>
        <v>140.26333333333332</v>
      </c>
      <c r="D153" s="33">
        <f>AVERAGE(Dados!D152:D154)</f>
        <v>157.73666666666665</v>
      </c>
      <c r="E153" s="33">
        <f>AVERAGE(Dados!E152:E154)</f>
        <v>142.85666666666665</v>
      </c>
      <c r="F153" s="33">
        <f>AVERAGE(Dados!F152:F154)</f>
        <v>153.07000000000002</v>
      </c>
      <c r="G153" s="33">
        <f>AVERAGE(Dados!G152:G154)</f>
        <v>143.17333333333332</v>
      </c>
      <c r="H153" s="33">
        <f>AVERAGE(Dados!H152:H154)</f>
        <v>148.06666666666666</v>
      </c>
      <c r="I153" s="33">
        <f>AVERAGE(Dados!I152:I154)</f>
        <v>136.56999999999996</v>
      </c>
      <c r="J153" s="33">
        <f>AVERAGE(Dados!J152:J154)</f>
        <v>155.03666666666666</v>
      </c>
      <c r="K153" s="33">
        <f>AVERAGE(Dados!K152:K154)</f>
        <v>148.46333333333334</v>
      </c>
    </row>
    <row r="154" spans="1:11" x14ac:dyDescent="0.25">
      <c r="A154" s="32">
        <v>42125</v>
      </c>
      <c r="B154" s="33">
        <f>AVERAGE(Dados!B153:B155)</f>
        <v>142.70333333333335</v>
      </c>
      <c r="C154" s="33">
        <f>AVERAGE(Dados!C153:C155)</f>
        <v>138.97666666666666</v>
      </c>
      <c r="D154" s="33">
        <f>AVERAGE(Dados!D153:D155)</f>
        <v>155.47999999999999</v>
      </c>
      <c r="E154" s="33">
        <f>AVERAGE(Dados!E153:E155)</f>
        <v>141.73666666666665</v>
      </c>
      <c r="F154" s="33">
        <f>AVERAGE(Dados!F153:F155)</f>
        <v>151.63666666666666</v>
      </c>
      <c r="G154" s="33">
        <f>AVERAGE(Dados!G153:G155)</f>
        <v>140.99666666666667</v>
      </c>
      <c r="H154" s="33">
        <f>AVERAGE(Dados!H153:H155)</f>
        <v>147.42666666666668</v>
      </c>
      <c r="I154" s="33">
        <f>AVERAGE(Dados!I153:I155)</f>
        <v>135.84666666666666</v>
      </c>
      <c r="J154" s="33">
        <f>AVERAGE(Dados!J153:J155)</f>
        <v>153.91</v>
      </c>
      <c r="K154" s="33">
        <f>AVERAGE(Dados!K153:K155)</f>
        <v>148.55999999999997</v>
      </c>
    </row>
    <row r="155" spans="1:11" x14ac:dyDescent="0.25">
      <c r="A155" s="32">
        <v>42156</v>
      </c>
      <c r="B155" s="33">
        <f>AVERAGE(Dados!B154:B156)</f>
        <v>141.27666666666667</v>
      </c>
      <c r="C155" s="33">
        <f>AVERAGE(Dados!C154:C156)</f>
        <v>138.08666666666667</v>
      </c>
      <c r="D155" s="33">
        <f>AVERAGE(Dados!D154:D156)</f>
        <v>153.69</v>
      </c>
      <c r="E155" s="33">
        <f>AVERAGE(Dados!E154:E156)</f>
        <v>140.79333333333335</v>
      </c>
      <c r="F155" s="33">
        <f>AVERAGE(Dados!F154:F156)</f>
        <v>151</v>
      </c>
      <c r="G155" s="33">
        <f>AVERAGE(Dados!G154:G156)</f>
        <v>136.92999999999998</v>
      </c>
      <c r="H155" s="33">
        <f>AVERAGE(Dados!H154:H156)</f>
        <v>146.47333333333333</v>
      </c>
      <c r="I155" s="33">
        <f>AVERAGE(Dados!I154:I156)</f>
        <v>135.09666666666666</v>
      </c>
      <c r="J155" s="33">
        <f>AVERAGE(Dados!J154:J156)</f>
        <v>151.30666666666667</v>
      </c>
      <c r="K155" s="33">
        <f>AVERAGE(Dados!K154:K156)</f>
        <v>148.21</v>
      </c>
    </row>
    <row r="156" spans="1:11" x14ac:dyDescent="0.25">
      <c r="A156" s="32">
        <v>42186</v>
      </c>
      <c r="B156" s="33">
        <f>AVERAGE(Dados!B155:B157)</f>
        <v>140.03333333333333</v>
      </c>
      <c r="C156" s="33">
        <f>AVERAGE(Dados!C155:C157)</f>
        <v>137.20333333333335</v>
      </c>
      <c r="D156" s="33">
        <f>AVERAGE(Dados!D155:D157)</f>
        <v>152.90666666666667</v>
      </c>
      <c r="E156" s="33">
        <f>AVERAGE(Dados!E155:E157)</f>
        <v>139.96666666666667</v>
      </c>
      <c r="F156" s="33">
        <f>AVERAGE(Dados!F155:F157)</f>
        <v>150.45333333333335</v>
      </c>
      <c r="G156" s="33">
        <f>AVERAGE(Dados!G155:G157)</f>
        <v>131.68666666666664</v>
      </c>
      <c r="H156" s="33">
        <f>AVERAGE(Dados!H155:H157)</f>
        <v>145.16333333333333</v>
      </c>
      <c r="I156" s="33">
        <f>AVERAGE(Dados!I155:I157)</f>
        <v>134.42666666666665</v>
      </c>
      <c r="J156" s="33">
        <f>AVERAGE(Dados!J155:J157)</f>
        <v>149.05666666666664</v>
      </c>
      <c r="K156" s="33">
        <f>AVERAGE(Dados!K155:K157)</f>
        <v>147.97333333333333</v>
      </c>
    </row>
    <row r="157" spans="1:11" x14ac:dyDescent="0.25">
      <c r="A157" s="32">
        <v>42217</v>
      </c>
      <c r="B157" s="33">
        <f>AVERAGE(Dados!B156:B158)</f>
        <v>139.22666666666666</v>
      </c>
      <c r="C157" s="33">
        <f>AVERAGE(Dados!C156:C158)</f>
        <v>136.70666666666668</v>
      </c>
      <c r="D157" s="33">
        <f>AVERAGE(Dados!D156:D158)</f>
        <v>152.10333333333332</v>
      </c>
      <c r="E157" s="33">
        <f>AVERAGE(Dados!E156:E158)</f>
        <v>139.27666666666667</v>
      </c>
      <c r="F157" s="33">
        <f>AVERAGE(Dados!F156:F158)</f>
        <v>149.73666666666665</v>
      </c>
      <c r="G157" s="33">
        <f>AVERAGE(Dados!G156:G158)</f>
        <v>131.1</v>
      </c>
      <c r="H157" s="33">
        <f>AVERAGE(Dados!H156:H158)</f>
        <v>144.59666666666666</v>
      </c>
      <c r="I157" s="33">
        <f>AVERAGE(Dados!I156:I158)</f>
        <v>134.19000000000003</v>
      </c>
      <c r="J157" s="33">
        <f>AVERAGE(Dados!J156:J158)</f>
        <v>148.23000000000002</v>
      </c>
      <c r="K157" s="33">
        <f>AVERAGE(Dados!K156:K158)</f>
        <v>147.70333333333335</v>
      </c>
    </row>
    <row r="158" spans="1:11" x14ac:dyDescent="0.25">
      <c r="A158" s="32">
        <v>42248</v>
      </c>
      <c r="B158" s="33">
        <f>AVERAGE(Dados!B157:B159)</f>
        <v>138.46</v>
      </c>
      <c r="C158" s="33">
        <f>AVERAGE(Dados!C157:C159)</f>
        <v>136.27666666666667</v>
      </c>
      <c r="D158" s="33">
        <f>AVERAGE(Dados!D157:D159)</f>
        <v>150.98333333333332</v>
      </c>
      <c r="E158" s="33">
        <f>AVERAGE(Dados!E157:E159)</f>
        <v>138.49666666666667</v>
      </c>
      <c r="F158" s="33">
        <f>AVERAGE(Dados!F157:F159)</f>
        <v>149.25666666666666</v>
      </c>
      <c r="G158" s="33">
        <f>AVERAGE(Dados!G157:G159)</f>
        <v>130.88999999999999</v>
      </c>
      <c r="H158" s="33">
        <f>AVERAGE(Dados!H157:H159)</f>
        <v>144.16999999999999</v>
      </c>
      <c r="I158" s="33">
        <f>AVERAGE(Dados!I157:I159)</f>
        <v>133.42666666666665</v>
      </c>
      <c r="J158" s="33">
        <f>AVERAGE(Dados!J157:J159)</f>
        <v>147.83333333333334</v>
      </c>
      <c r="K158" s="33">
        <f>AVERAGE(Dados!K157:K159)</f>
        <v>146.87666666666667</v>
      </c>
    </row>
    <row r="159" spans="1:11" x14ac:dyDescent="0.25">
      <c r="A159" s="32">
        <v>42278</v>
      </c>
      <c r="B159" s="33">
        <f>AVERAGE(Dados!B158:B160)</f>
        <v>137.98666666666665</v>
      </c>
      <c r="C159" s="33">
        <f>AVERAGE(Dados!C158:C160)</f>
        <v>136.04666666666665</v>
      </c>
      <c r="D159" s="33">
        <f>AVERAGE(Dados!D158:D160)</f>
        <v>149.93333333333334</v>
      </c>
      <c r="E159" s="33">
        <f>AVERAGE(Dados!E158:E160)</f>
        <v>137.73000000000002</v>
      </c>
      <c r="F159" s="33">
        <f>AVERAGE(Dados!F158:F160)</f>
        <v>148.91666666666666</v>
      </c>
      <c r="G159" s="33">
        <f>AVERAGE(Dados!G158:G160)</f>
        <v>129.96333333333334</v>
      </c>
      <c r="H159" s="33">
        <f>AVERAGE(Dados!H158:H160)</f>
        <v>143.68666666666667</v>
      </c>
      <c r="I159" s="33">
        <f>AVERAGE(Dados!I158:I160)</f>
        <v>132.83333333333334</v>
      </c>
      <c r="J159" s="33">
        <f>AVERAGE(Dados!J158:J160)</f>
        <v>147.76333333333335</v>
      </c>
      <c r="K159" s="33">
        <f>AVERAGE(Dados!K158:K160)</f>
        <v>145.96333333333334</v>
      </c>
    </row>
    <row r="160" spans="1:11" x14ac:dyDescent="0.25">
      <c r="A160" s="32">
        <v>42309</v>
      </c>
      <c r="B160" s="33">
        <f>AVERAGE(Dados!B159:B161)</f>
        <v>137.18999999999997</v>
      </c>
      <c r="C160" s="33">
        <f>AVERAGE(Dados!C159:C161)</f>
        <v>135.04666666666668</v>
      </c>
      <c r="D160" s="33">
        <f>AVERAGE(Dados!D159:D161)</f>
        <v>149.44666666666666</v>
      </c>
      <c r="E160" s="33">
        <f>AVERAGE(Dados!E159:E161)</f>
        <v>136.78333333333333</v>
      </c>
      <c r="F160" s="33">
        <f>AVERAGE(Dados!F159:F161)</f>
        <v>148.44333333333333</v>
      </c>
      <c r="G160" s="33">
        <f>AVERAGE(Dados!G159:G161)</f>
        <v>129.48666666666668</v>
      </c>
      <c r="H160" s="33">
        <f>AVERAGE(Dados!H159:H161)</f>
        <v>143.30000000000001</v>
      </c>
      <c r="I160" s="33">
        <f>AVERAGE(Dados!I159:I161)</f>
        <v>132.08000000000001</v>
      </c>
      <c r="J160" s="33">
        <f>AVERAGE(Dados!J159:J161)</f>
        <v>146.94666666666666</v>
      </c>
      <c r="K160" s="33">
        <f>AVERAGE(Dados!K159:K161)</f>
        <v>144.91333333333333</v>
      </c>
    </row>
    <row r="161" spans="1:11" x14ac:dyDescent="0.25">
      <c r="A161" s="32">
        <v>42339</v>
      </c>
      <c r="B161" s="33">
        <f>AVERAGE(Dados!B160:B162)</f>
        <v>136.72333333333333</v>
      </c>
      <c r="C161" s="33">
        <f>AVERAGE(Dados!C160:C162)</f>
        <v>134.20333333333335</v>
      </c>
      <c r="D161" s="33">
        <f>AVERAGE(Dados!D160:D162)</f>
        <v>147.82</v>
      </c>
      <c r="E161" s="33">
        <f>AVERAGE(Dados!E160:E162)</f>
        <v>135.88999999999999</v>
      </c>
      <c r="F161" s="33">
        <f>AVERAGE(Dados!F160:F162)</f>
        <v>148.01999999999998</v>
      </c>
      <c r="G161" s="33">
        <f>AVERAGE(Dados!G160:G162)</f>
        <v>130.27000000000001</v>
      </c>
      <c r="H161" s="33">
        <f>AVERAGE(Dados!H160:H162)</f>
        <v>142.63333333333333</v>
      </c>
      <c r="I161" s="33">
        <f>AVERAGE(Dados!I160:I162)</f>
        <v>131.8066666666667</v>
      </c>
      <c r="J161" s="33">
        <f>AVERAGE(Dados!J160:J162)</f>
        <v>145.87666666666667</v>
      </c>
      <c r="K161" s="33">
        <f>AVERAGE(Dados!K160:K162)</f>
        <v>144.03</v>
      </c>
    </row>
    <row r="162" spans="1:11" x14ac:dyDescent="0.25">
      <c r="A162" s="32">
        <v>42370</v>
      </c>
      <c r="B162" s="33">
        <f>AVERAGE(Dados!B161:B163)</f>
        <v>135.99333333333331</v>
      </c>
      <c r="C162" s="33">
        <f>AVERAGE(Dados!C161:C163)</f>
        <v>133.08333333333334</v>
      </c>
      <c r="D162" s="33">
        <f>AVERAGE(Dados!D161:D163)</f>
        <v>145.83000000000001</v>
      </c>
      <c r="E162" s="33">
        <f>AVERAGE(Dados!E161:E163)</f>
        <v>135.20666666666668</v>
      </c>
      <c r="F162" s="33">
        <f>AVERAGE(Dados!F161:F163)</f>
        <v>147.56666666666669</v>
      </c>
      <c r="G162" s="33">
        <f>AVERAGE(Dados!G161:G163)</f>
        <v>131.08666666666667</v>
      </c>
      <c r="H162" s="33">
        <f>AVERAGE(Dados!H161:H163)</f>
        <v>142.49</v>
      </c>
      <c r="I162" s="33">
        <f>AVERAGE(Dados!I161:I163)</f>
        <v>131.06666666666669</v>
      </c>
      <c r="J162" s="33">
        <f>AVERAGE(Dados!J161:J163)</f>
        <v>146.03666666666666</v>
      </c>
      <c r="K162" s="33">
        <f>AVERAGE(Dados!K161:K163)</f>
        <v>143.24666666666667</v>
      </c>
    </row>
    <row r="163" spans="1:11" x14ac:dyDescent="0.25">
      <c r="A163" s="32">
        <v>42401</v>
      </c>
      <c r="B163" s="33">
        <f>AVERAGE(Dados!B162:B164)</f>
        <v>135.50333333333333</v>
      </c>
      <c r="C163" s="33">
        <f>AVERAGE(Dados!C162:C164)</f>
        <v>132.22333333333333</v>
      </c>
      <c r="D163" s="33">
        <f>AVERAGE(Dados!D162:D164)</f>
        <v>143.31999999999996</v>
      </c>
      <c r="E163" s="33">
        <f>AVERAGE(Dados!E162:E164)</f>
        <v>134.68333333333334</v>
      </c>
      <c r="F163" s="33">
        <f>AVERAGE(Dados!F162:F164)</f>
        <v>146.50333333333333</v>
      </c>
      <c r="G163" s="33">
        <f>AVERAGE(Dados!G162:G164)</f>
        <v>131.17333333333332</v>
      </c>
      <c r="H163" s="33">
        <f>AVERAGE(Dados!H162:H164)</f>
        <v>141.04</v>
      </c>
      <c r="I163" s="33">
        <f>AVERAGE(Dados!I162:I164)</f>
        <v>129.68666666666667</v>
      </c>
      <c r="J163" s="33">
        <f>AVERAGE(Dados!J162:J164)</f>
        <v>146.24</v>
      </c>
      <c r="K163" s="33">
        <f>AVERAGE(Dados!K162:K164)</f>
        <v>142.80333333333331</v>
      </c>
    </row>
    <row r="164" spans="1:11" x14ac:dyDescent="0.25">
      <c r="A164" s="32">
        <v>42430</v>
      </c>
      <c r="B164" s="33">
        <f>AVERAGE(Dados!B163:B165)</f>
        <v>134.86666666666667</v>
      </c>
      <c r="C164" s="33">
        <f>AVERAGE(Dados!C163:C165)</f>
        <v>132.34</v>
      </c>
      <c r="D164" s="33">
        <f>AVERAGE(Dados!D163:D165)</f>
        <v>142.45333333333335</v>
      </c>
      <c r="E164" s="33">
        <f>AVERAGE(Dados!E163:E165)</f>
        <v>134.65</v>
      </c>
      <c r="F164" s="33">
        <f>AVERAGE(Dados!F163:F165)</f>
        <v>146.32</v>
      </c>
      <c r="G164" s="33">
        <f>AVERAGE(Dados!G163:G165)</f>
        <v>132.76333333333332</v>
      </c>
      <c r="H164" s="33">
        <f>AVERAGE(Dados!H163:H165)</f>
        <v>141.15</v>
      </c>
      <c r="I164" s="33">
        <f>AVERAGE(Dados!I163:I165)</f>
        <v>128.84</v>
      </c>
      <c r="J164" s="33">
        <f>AVERAGE(Dados!J163:J165)</f>
        <v>147.24666666666664</v>
      </c>
      <c r="K164" s="33">
        <f>AVERAGE(Dados!K163:K165)</f>
        <v>142.55999999999997</v>
      </c>
    </row>
    <row r="165" spans="1:11" x14ac:dyDescent="0.25">
      <c r="A165" s="32">
        <v>42461</v>
      </c>
      <c r="B165" s="33">
        <f>AVERAGE(Dados!B164:B166)</f>
        <v>134.63</v>
      </c>
      <c r="C165" s="33">
        <f>AVERAGE(Dados!C164:C166)</f>
        <v>133.04999999999998</v>
      </c>
      <c r="D165" s="33">
        <f>AVERAGE(Dados!D164:D166)</f>
        <v>142.81666666666666</v>
      </c>
      <c r="E165" s="33">
        <f>AVERAGE(Dados!E164:E166)</f>
        <v>134.45333333333335</v>
      </c>
      <c r="F165" s="33">
        <f>AVERAGE(Dados!F164:F166)</f>
        <v>146.70666666666668</v>
      </c>
      <c r="G165" s="33">
        <f>AVERAGE(Dados!G164:G166)</f>
        <v>133.69000000000003</v>
      </c>
      <c r="H165" s="33">
        <f>AVERAGE(Dados!H164:H166)</f>
        <v>141.09666666666669</v>
      </c>
      <c r="I165" s="33">
        <f>AVERAGE(Dados!I164:I166)</f>
        <v>128.52666666666667</v>
      </c>
      <c r="J165" s="33">
        <f>AVERAGE(Dados!J164:J166)</f>
        <v>147.68333333333331</v>
      </c>
      <c r="K165" s="33">
        <f>AVERAGE(Dados!K164:K166)</f>
        <v>142.04666666666665</v>
      </c>
    </row>
    <row r="166" spans="1:11" x14ac:dyDescent="0.25">
      <c r="A166" s="32">
        <v>42491</v>
      </c>
      <c r="B166" s="33">
        <f>AVERAGE(Dados!B165:B167)</f>
        <v>134.31000000000003</v>
      </c>
      <c r="C166" s="33">
        <f>AVERAGE(Dados!C165:C167)</f>
        <v>133.84333333333333</v>
      </c>
      <c r="D166" s="33">
        <f>AVERAGE(Dados!D165:D167)</f>
        <v>143.41666666666666</v>
      </c>
      <c r="E166" s="33">
        <f>AVERAGE(Dados!E165:E167)</f>
        <v>134.26</v>
      </c>
      <c r="F166" s="33">
        <f>AVERAGE(Dados!F165:F167)</f>
        <v>147.64000000000001</v>
      </c>
      <c r="G166" s="33">
        <f>AVERAGE(Dados!G165:G167)</f>
        <v>134.19666666666669</v>
      </c>
      <c r="H166" s="33">
        <f>AVERAGE(Dados!H165:H167)</f>
        <v>141.75666666666669</v>
      </c>
      <c r="I166" s="33">
        <f>AVERAGE(Dados!I165:I167)</f>
        <v>129.41999999999999</v>
      </c>
      <c r="J166" s="33">
        <f>AVERAGE(Dados!J165:J167)</f>
        <v>147.78666666666666</v>
      </c>
      <c r="K166" s="33">
        <f>AVERAGE(Dados!K165:K167)</f>
        <v>141.71333333333334</v>
      </c>
    </row>
    <row r="167" spans="1:11" x14ac:dyDescent="0.25">
      <c r="A167" s="32">
        <v>42522</v>
      </c>
      <c r="B167" s="33">
        <f>AVERAGE(Dados!B166:B168)</f>
        <v>134.30000000000001</v>
      </c>
      <c r="C167" s="33">
        <f>AVERAGE(Dados!C166:C168)</f>
        <v>134.37</v>
      </c>
      <c r="D167" s="33">
        <f>AVERAGE(Dados!D166:D168)</f>
        <v>144.22666666666666</v>
      </c>
      <c r="E167" s="33">
        <f>AVERAGE(Dados!E166:E168)</f>
        <v>134.07333333333335</v>
      </c>
      <c r="F167" s="33">
        <f>AVERAGE(Dados!F166:F168)</f>
        <v>148.05333333333331</v>
      </c>
      <c r="G167" s="33">
        <f>AVERAGE(Dados!G166:G168)</f>
        <v>132.92333333333335</v>
      </c>
      <c r="H167" s="33">
        <f>AVERAGE(Dados!H166:H168)</f>
        <v>142.07333333333332</v>
      </c>
      <c r="I167" s="33">
        <f>AVERAGE(Dados!I166:I168)</f>
        <v>130.30000000000001</v>
      </c>
      <c r="J167" s="33">
        <f>AVERAGE(Dados!J166:J168)</f>
        <v>147.63</v>
      </c>
      <c r="K167" s="33">
        <f>AVERAGE(Dados!K166:K168)</f>
        <v>140.62333333333333</v>
      </c>
    </row>
    <row r="168" spans="1:11" x14ac:dyDescent="0.25">
      <c r="A168" s="32">
        <v>42552</v>
      </c>
      <c r="B168" s="33">
        <f>AVERAGE(Dados!B167:B169)</f>
        <v>134.12333333333333</v>
      </c>
      <c r="C168" s="33">
        <f>AVERAGE(Dados!C167:C169)</f>
        <v>134.71333333333334</v>
      </c>
      <c r="D168" s="33">
        <f>AVERAGE(Dados!D167:D169)</f>
        <v>145.02000000000001</v>
      </c>
      <c r="E168" s="33">
        <f>AVERAGE(Dados!E167:E169)</f>
        <v>134.45000000000002</v>
      </c>
      <c r="F168" s="33">
        <f>AVERAGE(Dados!F167:F169)</f>
        <v>148.31666666666663</v>
      </c>
      <c r="G168" s="33">
        <f>AVERAGE(Dados!G167:G169)</f>
        <v>131.54999999999998</v>
      </c>
      <c r="H168" s="33">
        <f>AVERAGE(Dados!H167:H169)</f>
        <v>142.20666666666668</v>
      </c>
      <c r="I168" s="33">
        <f>AVERAGE(Dados!I167:I169)</f>
        <v>130.94333333333333</v>
      </c>
      <c r="J168" s="33">
        <f>AVERAGE(Dados!J167:J169)</f>
        <v>147.79666666666665</v>
      </c>
      <c r="K168" s="33">
        <f>AVERAGE(Dados!K167:K169)</f>
        <v>138.32666666666668</v>
      </c>
    </row>
    <row r="169" spans="1:11" x14ac:dyDescent="0.25">
      <c r="A169" s="32">
        <v>42583</v>
      </c>
      <c r="B169" s="33">
        <f>AVERAGE(Dados!B168:B170)</f>
        <v>133.71</v>
      </c>
      <c r="C169" s="33">
        <f>AVERAGE(Dados!C168:C170)</f>
        <v>134.28666666666666</v>
      </c>
      <c r="D169" s="33">
        <f>AVERAGE(Dados!D168:D170)</f>
        <v>145.42333333333335</v>
      </c>
      <c r="E169" s="33">
        <f>AVERAGE(Dados!E168:E170)</f>
        <v>134.53</v>
      </c>
      <c r="F169" s="33">
        <f>AVERAGE(Dados!F168:F170)</f>
        <v>148.06666666666666</v>
      </c>
      <c r="G169" s="33">
        <f>AVERAGE(Dados!G168:G170)</f>
        <v>131.13333333333333</v>
      </c>
      <c r="H169" s="33">
        <f>AVERAGE(Dados!H168:H170)</f>
        <v>142.26</v>
      </c>
      <c r="I169" s="33">
        <f>AVERAGE(Dados!I168:I170)</f>
        <v>130.68333333333331</v>
      </c>
      <c r="J169" s="33">
        <f>AVERAGE(Dados!J168:J170)</f>
        <v>147.08333333333334</v>
      </c>
      <c r="K169" s="33">
        <f>AVERAGE(Dados!K168:K170)</f>
        <v>137.05666666666667</v>
      </c>
    </row>
    <row r="170" spans="1:11" x14ac:dyDescent="0.25">
      <c r="A170" s="32">
        <v>42614</v>
      </c>
      <c r="B170" s="33">
        <f>AVERAGE(Dados!B169:B171)</f>
        <v>133.24666666666667</v>
      </c>
      <c r="C170" s="33">
        <f>AVERAGE(Dados!C169:C171)</f>
        <v>133.51666666666665</v>
      </c>
      <c r="D170" s="33">
        <f>AVERAGE(Dados!D169:D171)</f>
        <v>145.70000000000002</v>
      </c>
      <c r="E170" s="33">
        <f>AVERAGE(Dados!E169:E171)</f>
        <v>134.26000000000002</v>
      </c>
      <c r="F170" s="33">
        <f>AVERAGE(Dados!F169:F171)</f>
        <v>147.89333333333332</v>
      </c>
      <c r="G170" s="33">
        <f>AVERAGE(Dados!G169:G171)</f>
        <v>130.70666666666668</v>
      </c>
      <c r="H170" s="33">
        <f>AVERAGE(Dados!H169:H171)</f>
        <v>141.75</v>
      </c>
      <c r="I170" s="33">
        <f>AVERAGE(Dados!I169:I171)</f>
        <v>130.04</v>
      </c>
      <c r="J170" s="33">
        <f>AVERAGE(Dados!J169:J171)</f>
        <v>145.93333333333331</v>
      </c>
      <c r="K170" s="33">
        <f>AVERAGE(Dados!K169:K171)</f>
        <v>136.95333333333335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N170"/>
  <sheetViews>
    <sheetView showGridLines="0" workbookViewId="0">
      <pane xSplit="1" ySplit="5" topLeftCell="B154" activePane="bottomRight" state="frozen"/>
      <selection activeCell="D144" sqref="D144"/>
      <selection pane="topRight" activeCell="D144" sqref="D144"/>
      <selection pane="bottomLeft" activeCell="D144" sqref="D144"/>
      <selection pane="bottomRight" activeCell="D168" sqref="D168"/>
    </sheetView>
  </sheetViews>
  <sheetFormatPr defaultRowHeight="15" x14ac:dyDescent="0.25"/>
  <cols>
    <col min="1" max="1" width="19.140625" style="12" customWidth="1"/>
    <col min="2" max="3" width="9.140625" style="11"/>
    <col min="4" max="4" width="9.5703125" style="11" bestFit="1" customWidth="1"/>
    <col min="5" max="11" width="9.140625" style="11"/>
    <col min="12" max="16384" width="9.140625" style="12"/>
  </cols>
  <sheetData>
    <row r="1" spans="1:14" s="4" customFormat="1" ht="18.75" x14ac:dyDescent="0.3">
      <c r="A1" s="2" t="s">
        <v>19</v>
      </c>
      <c r="B1" s="3"/>
      <c r="C1" s="3"/>
      <c r="D1" s="3"/>
      <c r="E1" s="3"/>
      <c r="F1" s="3"/>
      <c r="G1" s="3"/>
      <c r="H1" s="13" t="s">
        <v>18</v>
      </c>
      <c r="I1" s="3"/>
      <c r="J1" s="3"/>
    </row>
    <row r="2" spans="1:14" s="6" customFormat="1" x14ac:dyDescent="0.25">
      <c r="A2" s="5" t="s">
        <v>0</v>
      </c>
      <c r="B2" s="1"/>
      <c r="C2" s="1"/>
      <c r="D2" s="1"/>
      <c r="E2" s="1"/>
      <c r="F2" s="1"/>
      <c r="G2" s="1"/>
      <c r="H2" s="1"/>
      <c r="I2" s="1"/>
      <c r="J2" s="1"/>
    </row>
    <row r="3" spans="1:14" s="6" customFormat="1" ht="22.5" customHeight="1" x14ac:dyDescent="0.25">
      <c r="A3" s="7" t="s">
        <v>1</v>
      </c>
      <c r="B3" s="1"/>
      <c r="C3" s="1"/>
      <c r="D3" s="1"/>
      <c r="E3" s="8"/>
      <c r="F3" s="8"/>
      <c r="G3" s="1"/>
      <c r="H3" s="1"/>
      <c r="I3" s="1"/>
      <c r="N3" s="1"/>
    </row>
    <row r="4" spans="1:14" s="6" customFormat="1" x14ac:dyDescent="0.25">
      <c r="A4" s="5" t="str">
        <f>Resumo!A4</f>
        <v>Atualizado em 29 de Novembro de 2016</v>
      </c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4" s="10" customFormat="1" ht="39" customHeight="1" x14ac:dyDescent="0.25">
      <c r="A5" s="9"/>
      <c r="B5" s="14" t="s">
        <v>14</v>
      </c>
      <c r="C5" s="14" t="s">
        <v>11</v>
      </c>
      <c r="D5" s="14" t="s">
        <v>9</v>
      </c>
      <c r="E5" s="14" t="s">
        <v>10</v>
      </c>
      <c r="F5" s="14" t="s">
        <v>8</v>
      </c>
      <c r="G5" s="14" t="s">
        <v>3</v>
      </c>
      <c r="H5" s="14" t="s">
        <v>5</v>
      </c>
      <c r="I5" s="14" t="s">
        <v>4</v>
      </c>
      <c r="J5" s="14" t="s">
        <v>7</v>
      </c>
      <c r="K5" s="14" t="s">
        <v>6</v>
      </c>
    </row>
    <row r="6" spans="1:14" x14ac:dyDescent="0.25">
      <c r="A6" s="32">
        <v>37622</v>
      </c>
      <c r="B6" s="33" t="s">
        <v>13</v>
      </c>
      <c r="C6" s="33" t="s">
        <v>13</v>
      </c>
      <c r="D6" s="33" t="s">
        <v>13</v>
      </c>
      <c r="E6" s="33" t="s">
        <v>13</v>
      </c>
      <c r="F6" s="33" t="s">
        <v>13</v>
      </c>
      <c r="G6" s="33" t="s">
        <v>13</v>
      </c>
      <c r="H6" s="33" t="s">
        <v>13</v>
      </c>
      <c r="I6" s="33" t="s">
        <v>13</v>
      </c>
      <c r="J6" s="33" t="s">
        <v>13</v>
      </c>
      <c r="K6" s="33" t="s">
        <v>13</v>
      </c>
      <c r="L6" s="17"/>
    </row>
    <row r="7" spans="1:14" x14ac:dyDescent="0.25">
      <c r="A7" s="32">
        <v>37653</v>
      </c>
      <c r="B7" s="33" t="s">
        <v>13</v>
      </c>
      <c r="C7" s="33" t="s">
        <v>13</v>
      </c>
      <c r="D7" s="33" t="s">
        <v>13</v>
      </c>
      <c r="E7" s="33" t="s">
        <v>13</v>
      </c>
      <c r="F7" s="33" t="s">
        <v>13</v>
      </c>
      <c r="G7" s="33" t="s">
        <v>13</v>
      </c>
      <c r="H7" s="33" t="s">
        <v>13</v>
      </c>
      <c r="I7" s="33" t="s">
        <v>13</v>
      </c>
      <c r="J7" s="33" t="s">
        <v>13</v>
      </c>
      <c r="K7" s="33" t="s">
        <v>13</v>
      </c>
      <c r="L7" s="17"/>
    </row>
    <row r="8" spans="1:14" x14ac:dyDescent="0.25">
      <c r="A8" s="32">
        <v>37681</v>
      </c>
      <c r="B8" s="33" t="s">
        <v>13</v>
      </c>
      <c r="C8" s="33" t="s">
        <v>13</v>
      </c>
      <c r="D8" s="33" t="s">
        <v>13</v>
      </c>
      <c r="E8" s="33" t="s">
        <v>13</v>
      </c>
      <c r="F8" s="33" t="s">
        <v>13</v>
      </c>
      <c r="G8" s="33" t="s">
        <v>13</v>
      </c>
      <c r="H8" s="33" t="s">
        <v>13</v>
      </c>
      <c r="I8" s="33" t="s">
        <v>13</v>
      </c>
      <c r="J8" s="33" t="s">
        <v>13</v>
      </c>
      <c r="K8" s="33" t="s">
        <v>13</v>
      </c>
    </row>
    <row r="9" spans="1:14" x14ac:dyDescent="0.25">
      <c r="A9" s="32">
        <v>37712</v>
      </c>
      <c r="B9" s="33" t="s">
        <v>13</v>
      </c>
      <c r="C9" s="33" t="s">
        <v>13</v>
      </c>
      <c r="D9" s="33" t="s">
        <v>13</v>
      </c>
      <c r="E9" s="33" t="s">
        <v>13</v>
      </c>
      <c r="F9" s="33" t="s">
        <v>13</v>
      </c>
      <c r="G9" s="33" t="s">
        <v>13</v>
      </c>
      <c r="H9" s="33" t="s">
        <v>13</v>
      </c>
      <c r="I9" s="33" t="s">
        <v>13</v>
      </c>
      <c r="J9" s="33" t="s">
        <v>13</v>
      </c>
      <c r="K9" s="33" t="s">
        <v>13</v>
      </c>
    </row>
    <row r="10" spans="1:14" x14ac:dyDescent="0.25">
      <c r="A10" s="32">
        <v>37742</v>
      </c>
      <c r="B10" s="33" t="s">
        <v>13</v>
      </c>
      <c r="C10" s="33" t="s">
        <v>13</v>
      </c>
      <c r="D10" s="33" t="s">
        <v>13</v>
      </c>
      <c r="E10" s="33" t="s">
        <v>13</v>
      </c>
      <c r="F10" s="33" t="s">
        <v>13</v>
      </c>
      <c r="G10" s="33" t="s">
        <v>13</v>
      </c>
      <c r="H10" s="33" t="s">
        <v>13</v>
      </c>
      <c r="I10" s="33" t="s">
        <v>13</v>
      </c>
      <c r="J10" s="33" t="s">
        <v>13</v>
      </c>
      <c r="K10" s="33" t="s">
        <v>13</v>
      </c>
    </row>
    <row r="11" spans="1:14" x14ac:dyDescent="0.25">
      <c r="A11" s="32">
        <v>37773</v>
      </c>
      <c r="B11" s="33">
        <f>AVERAGE(Dados!B7:B12)</f>
        <v>100.96833333333332</v>
      </c>
      <c r="C11" s="33">
        <f>AVERAGE(Dados!C7:C12)</f>
        <v>96.886666666666656</v>
      </c>
      <c r="D11" s="33">
        <f>AVERAGE(Dados!D7:D12)</f>
        <v>100.11166666666666</v>
      </c>
      <c r="E11" s="33">
        <f>AVERAGE(Dados!E7:E12)</f>
        <v>100.00833333333333</v>
      </c>
      <c r="F11" s="33">
        <f>AVERAGE(Dados!F7:F12)</f>
        <v>98.990000000000009</v>
      </c>
      <c r="G11" s="33">
        <f>AVERAGE(Dados!G7:G12)</f>
        <v>102.97833333333334</v>
      </c>
      <c r="H11" s="33">
        <f>AVERAGE(Dados!H7:H12)</f>
        <v>101.33</v>
      </c>
      <c r="I11" s="33">
        <f>AVERAGE(Dados!I7:I12)</f>
        <v>100.66166666666668</v>
      </c>
      <c r="J11" s="33">
        <f>AVERAGE(Dados!J7:J12)</f>
        <v>104.03166666666668</v>
      </c>
      <c r="K11" s="33">
        <f>AVERAGE(Dados!K7:K12)</f>
        <v>100.57666666666667</v>
      </c>
    </row>
    <row r="12" spans="1:14" x14ac:dyDescent="0.25">
      <c r="A12" s="32">
        <v>37803</v>
      </c>
      <c r="B12" s="33">
        <f>AVERAGE(Dados!B8:B13)</f>
        <v>100.71166666666666</v>
      </c>
      <c r="C12" s="33">
        <f>AVERAGE(Dados!C8:C13)</f>
        <v>96.654999999999987</v>
      </c>
      <c r="D12" s="33">
        <f>AVERAGE(Dados!D8:D13)</f>
        <v>99.606666666666669</v>
      </c>
      <c r="E12" s="33">
        <f>AVERAGE(Dados!E8:E13)</f>
        <v>99.713333333333324</v>
      </c>
      <c r="F12" s="33">
        <f>AVERAGE(Dados!F8:F13)</f>
        <v>98.99666666666667</v>
      </c>
      <c r="G12" s="33">
        <f>AVERAGE(Dados!G8:G13)</f>
        <v>102.24166666666667</v>
      </c>
      <c r="H12" s="33">
        <f>AVERAGE(Dados!H8:H13)</f>
        <v>100.81166666666667</v>
      </c>
      <c r="I12" s="33">
        <f>AVERAGE(Dados!I8:I13)</f>
        <v>100.64</v>
      </c>
      <c r="J12" s="33">
        <f>AVERAGE(Dados!J8:J13)</f>
        <v>103.94666666666666</v>
      </c>
      <c r="K12" s="33">
        <f>AVERAGE(Dados!K8:K13)</f>
        <v>99.945000000000007</v>
      </c>
    </row>
    <row r="13" spans="1:14" x14ac:dyDescent="0.25">
      <c r="A13" s="32">
        <v>37834</v>
      </c>
      <c r="B13" s="33">
        <f>AVERAGE(Dados!B9:B14)</f>
        <v>100.36666666666667</v>
      </c>
      <c r="C13" s="33">
        <f>AVERAGE(Dados!C9:C14)</f>
        <v>96.448333333333338</v>
      </c>
      <c r="D13" s="33">
        <f>AVERAGE(Dados!D9:D14)</f>
        <v>99.391666666666666</v>
      </c>
      <c r="E13" s="33">
        <f>AVERAGE(Dados!E9:E14)</f>
        <v>99.706666666666663</v>
      </c>
      <c r="F13" s="33">
        <f>AVERAGE(Dados!F9:F14)</f>
        <v>99.206666666666663</v>
      </c>
      <c r="G13" s="33">
        <f>AVERAGE(Dados!G9:G14)</f>
        <v>101.86500000000001</v>
      </c>
      <c r="H13" s="33">
        <f>AVERAGE(Dados!H9:H14)</f>
        <v>100.27999999999999</v>
      </c>
      <c r="I13" s="33">
        <f>AVERAGE(Dados!I9:I14)</f>
        <v>100.435</v>
      </c>
      <c r="J13" s="33">
        <f>AVERAGE(Dados!J9:J14)</f>
        <v>103.69166666666668</v>
      </c>
      <c r="K13" s="33">
        <f>AVERAGE(Dados!K9:K14)</f>
        <v>99.698333333333338</v>
      </c>
    </row>
    <row r="14" spans="1:14" x14ac:dyDescent="0.25">
      <c r="A14" s="32">
        <v>37865</v>
      </c>
      <c r="B14" s="33">
        <f>AVERAGE(Dados!B10:B15)</f>
        <v>100.24166666666666</v>
      </c>
      <c r="C14" s="33">
        <f>AVERAGE(Dados!C10:C15)</f>
        <v>96.454999999999998</v>
      </c>
      <c r="D14" s="33">
        <f>AVERAGE(Dados!D10:D15)</f>
        <v>99.415000000000006</v>
      </c>
      <c r="E14" s="33">
        <f>AVERAGE(Dados!E10:E15)</f>
        <v>99.643333333333331</v>
      </c>
      <c r="F14" s="33">
        <f>AVERAGE(Dados!F10:F15)</f>
        <v>99.538333333333341</v>
      </c>
      <c r="G14" s="33">
        <f>AVERAGE(Dados!G10:G15)</f>
        <v>102.24833333333333</v>
      </c>
      <c r="H14" s="33">
        <f>AVERAGE(Dados!H10:H15)</f>
        <v>100.26499999999999</v>
      </c>
      <c r="I14" s="33">
        <f>AVERAGE(Dados!I10:I15)</f>
        <v>100.33</v>
      </c>
      <c r="J14" s="33">
        <f>AVERAGE(Dados!J10:J15)</f>
        <v>103.25</v>
      </c>
      <c r="K14" s="33">
        <f>AVERAGE(Dados!K10:K15)</f>
        <v>100.06333333333333</v>
      </c>
    </row>
    <row r="15" spans="1:14" x14ac:dyDescent="0.25">
      <c r="A15" s="32">
        <v>37895</v>
      </c>
      <c r="B15" s="33">
        <f>AVERAGE(Dados!B11:B16)</f>
        <v>100.36833333333334</v>
      </c>
      <c r="C15" s="33">
        <f>AVERAGE(Dados!C11:C16)</f>
        <v>96.716666666666654</v>
      </c>
      <c r="D15" s="33">
        <f>AVERAGE(Dados!D11:D16)</f>
        <v>99.313333333333333</v>
      </c>
      <c r="E15" s="33">
        <f>AVERAGE(Dados!E11:E16)</f>
        <v>99.386666666666656</v>
      </c>
      <c r="F15" s="33">
        <f>AVERAGE(Dados!F11:F16)</f>
        <v>100.18166666666666</v>
      </c>
      <c r="G15" s="33">
        <f>AVERAGE(Dados!G11:G16)</f>
        <v>101.40666666666668</v>
      </c>
      <c r="H15" s="33">
        <f>AVERAGE(Dados!H11:H16)</f>
        <v>100.51999999999998</v>
      </c>
      <c r="I15" s="33">
        <f>AVERAGE(Dados!I11:I16)</f>
        <v>100.44166666666666</v>
      </c>
      <c r="J15" s="33">
        <f>AVERAGE(Dados!J11:J16)</f>
        <v>103.68499999999999</v>
      </c>
      <c r="K15" s="33">
        <f>AVERAGE(Dados!K11:K16)</f>
        <v>100.04333333333334</v>
      </c>
    </row>
    <row r="16" spans="1:14" x14ac:dyDescent="0.25">
      <c r="A16" s="32">
        <v>37926</v>
      </c>
      <c r="B16" s="33">
        <f>AVERAGE(Dados!B12:B17)</f>
        <v>100.75</v>
      </c>
      <c r="C16" s="33">
        <f>AVERAGE(Dados!C12:C17)</f>
        <v>97.216666666666654</v>
      </c>
      <c r="D16" s="33">
        <f>AVERAGE(Dados!D12:D17)</f>
        <v>99.436666666666667</v>
      </c>
      <c r="E16" s="33">
        <f>AVERAGE(Dados!E12:E17)</f>
        <v>99.495000000000005</v>
      </c>
      <c r="F16" s="33">
        <f>AVERAGE(Dados!F12:F17)</f>
        <v>101.13999999999999</v>
      </c>
      <c r="G16" s="33">
        <f>AVERAGE(Dados!G12:G17)</f>
        <v>101.79833333333333</v>
      </c>
      <c r="H16" s="33">
        <f>AVERAGE(Dados!H12:H17)</f>
        <v>101.08</v>
      </c>
      <c r="I16" s="33">
        <f>AVERAGE(Dados!I12:I17)</f>
        <v>100.68666666666667</v>
      </c>
      <c r="J16" s="33">
        <f>AVERAGE(Dados!J12:J17)</f>
        <v>104.16833333333331</v>
      </c>
      <c r="K16" s="33">
        <f>AVERAGE(Dados!K12:K17)</f>
        <v>99.521666666666661</v>
      </c>
    </row>
    <row r="17" spans="1:11" x14ac:dyDescent="0.25">
      <c r="A17" s="32">
        <v>37956</v>
      </c>
      <c r="B17" s="33">
        <f>AVERAGE(Dados!B13:B18)</f>
        <v>100.94833333333334</v>
      </c>
      <c r="C17" s="33">
        <f>AVERAGE(Dados!C13:C18)</f>
        <v>98.110000000000014</v>
      </c>
      <c r="D17" s="33">
        <f>AVERAGE(Dados!D13:D18)</f>
        <v>99.34999999999998</v>
      </c>
      <c r="E17" s="33">
        <f>AVERAGE(Dados!E13:E18)</f>
        <v>99.251666666666665</v>
      </c>
      <c r="F17" s="33">
        <f>AVERAGE(Dados!F13:F18)</f>
        <v>101.99666666666667</v>
      </c>
      <c r="G17" s="33">
        <f>AVERAGE(Dados!G13:G18)</f>
        <v>101.81833333333333</v>
      </c>
      <c r="H17" s="33">
        <f>AVERAGE(Dados!H13:H18)</f>
        <v>101.44</v>
      </c>
      <c r="I17" s="33">
        <f>AVERAGE(Dados!I13:I18)</f>
        <v>100.79166666666667</v>
      </c>
      <c r="J17" s="33">
        <f>AVERAGE(Dados!J13:J18)</f>
        <v>104.30333333333333</v>
      </c>
      <c r="K17" s="33">
        <f>AVERAGE(Dados!K13:K18)</f>
        <v>99.375</v>
      </c>
    </row>
    <row r="18" spans="1:11" x14ac:dyDescent="0.25">
      <c r="A18" s="32">
        <v>37987</v>
      </c>
      <c r="B18" s="33">
        <f>AVERAGE(Dados!B14:B19)</f>
        <v>101.72333333333334</v>
      </c>
      <c r="C18" s="33">
        <f>AVERAGE(Dados!C14:C19)</f>
        <v>98.666666666666671</v>
      </c>
      <c r="D18" s="33">
        <f>AVERAGE(Dados!D14:D19)</f>
        <v>99.401666666666657</v>
      </c>
      <c r="E18" s="33">
        <f>AVERAGE(Dados!E14:E19)</f>
        <v>99.183333333333337</v>
      </c>
      <c r="F18" s="33">
        <f>AVERAGE(Dados!F14:F19)</f>
        <v>102.78666666666668</v>
      </c>
      <c r="G18" s="33">
        <f>AVERAGE(Dados!G14:G19)</f>
        <v>103.00833333333333</v>
      </c>
      <c r="H18" s="33">
        <f>AVERAGE(Dados!H14:H19)</f>
        <v>102.34166666666665</v>
      </c>
      <c r="I18" s="33">
        <f>AVERAGE(Dados!I14:I19)</f>
        <v>100.81833333333333</v>
      </c>
      <c r="J18" s="33">
        <f>AVERAGE(Dados!J14:J19)</f>
        <v>104.68166666666666</v>
      </c>
      <c r="K18" s="33">
        <f>AVERAGE(Dados!K14:K19)</f>
        <v>99.963333333333324</v>
      </c>
    </row>
    <row r="19" spans="1:11" x14ac:dyDescent="0.25">
      <c r="A19" s="32">
        <v>38018</v>
      </c>
      <c r="B19" s="33">
        <f>AVERAGE(Dados!B15:B20)</f>
        <v>102.48833333333333</v>
      </c>
      <c r="C19" s="33">
        <f>AVERAGE(Dados!C15:C20)</f>
        <v>99.059999999999988</v>
      </c>
      <c r="D19" s="33">
        <f>AVERAGE(Dados!D15:D20)</f>
        <v>99.506666666666661</v>
      </c>
      <c r="E19" s="33">
        <f>AVERAGE(Dados!E15:E20)</f>
        <v>99.166666666666671</v>
      </c>
      <c r="F19" s="33">
        <f>AVERAGE(Dados!F15:F20)</f>
        <v>103.10166666666667</v>
      </c>
      <c r="G19" s="33">
        <f>AVERAGE(Dados!G15:G20)</f>
        <v>103.90333333333332</v>
      </c>
      <c r="H19" s="33">
        <f>AVERAGE(Dados!H15:H20)</f>
        <v>103.13333333333333</v>
      </c>
      <c r="I19" s="33">
        <f>AVERAGE(Dados!I15:I20)</f>
        <v>100.72333333333334</v>
      </c>
      <c r="J19" s="33">
        <f>AVERAGE(Dados!J15:J20)</f>
        <v>104.995</v>
      </c>
      <c r="K19" s="33">
        <f>AVERAGE(Dados!K15:K20)</f>
        <v>100.52500000000002</v>
      </c>
    </row>
    <row r="20" spans="1:11" x14ac:dyDescent="0.25">
      <c r="A20" s="32">
        <v>38047</v>
      </c>
      <c r="B20" s="33">
        <f>AVERAGE(Dados!B16:B21)</f>
        <v>103.24</v>
      </c>
      <c r="C20" s="33">
        <f>AVERAGE(Dados!C16:C21)</f>
        <v>99.823333333333338</v>
      </c>
      <c r="D20" s="33">
        <f>AVERAGE(Dados!D16:D21)</f>
        <v>99.726666666666674</v>
      </c>
      <c r="E20" s="33">
        <f>AVERAGE(Dados!E16:E21)</f>
        <v>99.226666666666674</v>
      </c>
      <c r="F20" s="33">
        <f>AVERAGE(Dados!F16:F21)</f>
        <v>103.68166666666666</v>
      </c>
      <c r="G20" s="33">
        <f>AVERAGE(Dados!G16:G21)</f>
        <v>104.61333333333333</v>
      </c>
      <c r="H20" s="33">
        <f>AVERAGE(Dados!H16:H21)</f>
        <v>103.79833333333333</v>
      </c>
      <c r="I20" s="33">
        <f>AVERAGE(Dados!I16:I21)</f>
        <v>100.82833333333333</v>
      </c>
      <c r="J20" s="33">
        <f>AVERAGE(Dados!J16:J21)</f>
        <v>105.99833333333333</v>
      </c>
      <c r="K20" s="33">
        <f>AVERAGE(Dados!K16:K21)</f>
        <v>100.62666666666667</v>
      </c>
    </row>
    <row r="21" spans="1:11" x14ac:dyDescent="0.25">
      <c r="A21" s="32">
        <v>38078</v>
      </c>
      <c r="B21" s="33">
        <f>AVERAGE(Dados!B17:B22)</f>
        <v>104.02333333333333</v>
      </c>
      <c r="C21" s="33">
        <f>AVERAGE(Dados!C17:C22)</f>
        <v>100.71</v>
      </c>
      <c r="D21" s="33">
        <f>AVERAGE(Dados!D17:D22)</f>
        <v>100.27333333333333</v>
      </c>
      <c r="E21" s="33">
        <f>AVERAGE(Dados!E17:E22)</f>
        <v>99.508333333333326</v>
      </c>
      <c r="F21" s="33">
        <f>AVERAGE(Dados!F17:F22)</f>
        <v>104.30166666666666</v>
      </c>
      <c r="G21" s="33">
        <f>AVERAGE(Dados!G17:G22)</f>
        <v>104.87499999999999</v>
      </c>
      <c r="H21" s="33">
        <f>AVERAGE(Dados!H17:H22)</f>
        <v>104.48666666666668</v>
      </c>
      <c r="I21" s="33">
        <f>AVERAGE(Dados!I17:I22)</f>
        <v>100.92333333333335</v>
      </c>
      <c r="J21" s="33">
        <f>AVERAGE(Dados!J17:J22)</f>
        <v>106.40499999999999</v>
      </c>
      <c r="K21" s="33">
        <f>AVERAGE(Dados!K17:K22)</f>
        <v>101.00833333333333</v>
      </c>
    </row>
    <row r="22" spans="1:11" x14ac:dyDescent="0.25">
      <c r="A22" s="32">
        <v>38108</v>
      </c>
      <c r="B22" s="33">
        <f>AVERAGE(Dados!B18:B23)</f>
        <v>104.735</v>
      </c>
      <c r="C22" s="33">
        <f>AVERAGE(Dados!C18:C23)</f>
        <v>101.33999999999999</v>
      </c>
      <c r="D22" s="33">
        <f>AVERAGE(Dados!D18:D23)</f>
        <v>100.925</v>
      </c>
      <c r="E22" s="33">
        <f>AVERAGE(Dados!E18:E23)</f>
        <v>99.581666666666663</v>
      </c>
      <c r="F22" s="33">
        <f>AVERAGE(Dados!F18:F23)</f>
        <v>104.72166666666668</v>
      </c>
      <c r="G22" s="33">
        <f>AVERAGE(Dados!G18:G23)</f>
        <v>104.59333333333332</v>
      </c>
      <c r="H22" s="33">
        <f>AVERAGE(Dados!H18:H23)</f>
        <v>104.95166666666665</v>
      </c>
      <c r="I22" s="33">
        <f>AVERAGE(Dados!I18:I23)</f>
        <v>101.005</v>
      </c>
      <c r="J22" s="33">
        <f>AVERAGE(Dados!J18:J23)</f>
        <v>106.43833333333333</v>
      </c>
      <c r="K22" s="33">
        <f>AVERAGE(Dados!K18:K23)</f>
        <v>102.44166666666668</v>
      </c>
    </row>
    <row r="23" spans="1:11" x14ac:dyDescent="0.25">
      <c r="A23" s="32">
        <v>38139</v>
      </c>
      <c r="B23" s="33">
        <f>AVERAGE(Dados!B19:B24)</f>
        <v>105.68666666666667</v>
      </c>
      <c r="C23" s="33">
        <f>AVERAGE(Dados!C19:C24)</f>
        <v>101.82499999999999</v>
      </c>
      <c r="D23" s="33">
        <f>AVERAGE(Dados!D19:D24)</f>
        <v>101.54333333333334</v>
      </c>
      <c r="E23" s="33">
        <f>AVERAGE(Dados!E19:E24)</f>
        <v>99.839999999999989</v>
      </c>
      <c r="F23" s="33">
        <f>AVERAGE(Dados!F19:F24)</f>
        <v>105.33</v>
      </c>
      <c r="G23" s="33">
        <f>AVERAGE(Dados!G19:G24)</f>
        <v>105.19499999999998</v>
      </c>
      <c r="H23" s="33">
        <f>AVERAGE(Dados!H19:H24)</f>
        <v>105.63166666666666</v>
      </c>
      <c r="I23" s="33">
        <f>AVERAGE(Dados!I19:I24)</f>
        <v>101.35166666666667</v>
      </c>
      <c r="J23" s="33">
        <f>AVERAGE(Dados!J19:J24)</f>
        <v>106.825</v>
      </c>
      <c r="K23" s="33">
        <f>AVERAGE(Dados!K19:K24)</f>
        <v>104.43666666666667</v>
      </c>
    </row>
    <row r="24" spans="1:11" x14ac:dyDescent="0.25">
      <c r="A24" s="32">
        <v>38169</v>
      </c>
      <c r="B24" s="33">
        <f>AVERAGE(Dados!B20:B25)</f>
        <v>106.37333333333333</v>
      </c>
      <c r="C24" s="33">
        <f>AVERAGE(Dados!C20:C25)</f>
        <v>102.71166666666666</v>
      </c>
      <c r="D24" s="33">
        <f>AVERAGE(Dados!D20:D25)</f>
        <v>102.03500000000001</v>
      </c>
      <c r="E24" s="33">
        <f>AVERAGE(Dados!E20:E25)</f>
        <v>100.33499999999999</v>
      </c>
      <c r="F24" s="33">
        <f>AVERAGE(Dados!F20:F25)</f>
        <v>106.00999999999999</v>
      </c>
      <c r="G24" s="33">
        <f>AVERAGE(Dados!G20:G25)</f>
        <v>105.3</v>
      </c>
      <c r="H24" s="33">
        <f>AVERAGE(Dados!H20:H25)</f>
        <v>106.205</v>
      </c>
      <c r="I24" s="33">
        <f>AVERAGE(Dados!I20:I25)</f>
        <v>101.67333333333333</v>
      </c>
      <c r="J24" s="33">
        <f>AVERAGE(Dados!J20:J25)</f>
        <v>107.04166666666667</v>
      </c>
      <c r="K24" s="33">
        <f>AVERAGE(Dados!K20:K25)</f>
        <v>105.98333333333335</v>
      </c>
    </row>
    <row r="25" spans="1:11" x14ac:dyDescent="0.25">
      <c r="A25" s="32">
        <v>38200</v>
      </c>
      <c r="B25" s="33">
        <f>AVERAGE(Dados!B21:B26)</f>
        <v>107.00166666666667</v>
      </c>
      <c r="C25" s="33">
        <f>AVERAGE(Dados!C21:C26)</f>
        <v>103.51</v>
      </c>
      <c r="D25" s="33">
        <f>AVERAGE(Dados!D21:D26)</f>
        <v>102.68666666666667</v>
      </c>
      <c r="E25" s="33">
        <f>AVERAGE(Dados!E21:E26)</f>
        <v>100.88499999999999</v>
      </c>
      <c r="F25" s="33">
        <f>AVERAGE(Dados!F21:F26)</f>
        <v>106.92</v>
      </c>
      <c r="G25" s="33">
        <f>AVERAGE(Dados!G21:G26)</f>
        <v>105.26166666666666</v>
      </c>
      <c r="H25" s="33">
        <f>AVERAGE(Dados!H21:H26)</f>
        <v>106.88833333333332</v>
      </c>
      <c r="I25" s="33">
        <f>AVERAGE(Dados!I21:I26)</f>
        <v>102.22666666666667</v>
      </c>
      <c r="J25" s="33">
        <f>AVERAGE(Dados!J21:J26)</f>
        <v>107.61333333333333</v>
      </c>
      <c r="K25" s="33">
        <f>AVERAGE(Dados!K21:K26)</f>
        <v>106.27666666666666</v>
      </c>
    </row>
    <row r="26" spans="1:11" x14ac:dyDescent="0.25">
      <c r="A26" s="32">
        <v>38231</v>
      </c>
      <c r="B26" s="33">
        <f>AVERAGE(Dados!B22:B27)</f>
        <v>107.56</v>
      </c>
      <c r="C26" s="33">
        <f>AVERAGE(Dados!C22:C27)</f>
        <v>103.73666666666668</v>
      </c>
      <c r="D26" s="33">
        <f>AVERAGE(Dados!D22:D27)</f>
        <v>103.17166666666668</v>
      </c>
      <c r="E26" s="33">
        <f>AVERAGE(Dados!E22:E27)</f>
        <v>101.67999999999999</v>
      </c>
      <c r="F26" s="33">
        <f>AVERAGE(Dados!F22:F27)</f>
        <v>107.67166666666667</v>
      </c>
      <c r="G26" s="33">
        <f>AVERAGE(Dados!G22:G27)</f>
        <v>104.62666666666667</v>
      </c>
      <c r="H26" s="33">
        <f>AVERAGE(Dados!H22:H27)</f>
        <v>107.28333333333332</v>
      </c>
      <c r="I26" s="33">
        <f>AVERAGE(Dados!I22:I27)</f>
        <v>102.56666666666666</v>
      </c>
      <c r="J26" s="33">
        <f>AVERAGE(Dados!J22:J27)</f>
        <v>107.54666666666668</v>
      </c>
      <c r="K26" s="33">
        <f>AVERAGE(Dados!K22:K27)</f>
        <v>106.59499999999998</v>
      </c>
    </row>
    <row r="27" spans="1:11" x14ac:dyDescent="0.25">
      <c r="A27" s="32">
        <v>38261</v>
      </c>
      <c r="B27" s="33">
        <f>AVERAGE(Dados!B23:B28)</f>
        <v>107.94499999999999</v>
      </c>
      <c r="C27" s="33">
        <f>AVERAGE(Dados!C23:C28)</f>
        <v>103.73000000000002</v>
      </c>
      <c r="D27" s="33">
        <f>AVERAGE(Dados!D23:D28)</f>
        <v>103.505</v>
      </c>
      <c r="E27" s="33">
        <f>AVERAGE(Dados!E23:E28)</f>
        <v>102.31</v>
      </c>
      <c r="F27" s="33">
        <f>AVERAGE(Dados!F23:F28)</f>
        <v>108.21666666666668</v>
      </c>
      <c r="G27" s="33">
        <f>AVERAGE(Dados!G23:G28)</f>
        <v>104.70999999999998</v>
      </c>
      <c r="H27" s="33">
        <f>AVERAGE(Dados!H23:H28)</f>
        <v>107.58833333333332</v>
      </c>
      <c r="I27" s="33">
        <f>AVERAGE(Dados!I23:I28)</f>
        <v>102.96000000000002</v>
      </c>
      <c r="J27" s="33">
        <f>AVERAGE(Dados!J23:J28)</f>
        <v>107.74666666666667</v>
      </c>
      <c r="K27" s="33">
        <f>AVERAGE(Dados!K23:K28)</f>
        <v>106.87833333333333</v>
      </c>
    </row>
    <row r="28" spans="1:11" x14ac:dyDescent="0.25">
      <c r="A28" s="32">
        <v>38292</v>
      </c>
      <c r="B28" s="33">
        <f>AVERAGE(Dados!B24:B29)</f>
        <v>108.51</v>
      </c>
      <c r="C28" s="33">
        <f>AVERAGE(Dados!C24:C29)</f>
        <v>103.91333333333334</v>
      </c>
      <c r="D28" s="33">
        <f>AVERAGE(Dados!D24:D29)</f>
        <v>103.37</v>
      </c>
      <c r="E28" s="33">
        <f>AVERAGE(Dados!E24:E29)</f>
        <v>103.02666666666666</v>
      </c>
      <c r="F28" s="33">
        <f>AVERAGE(Dados!F24:F29)</f>
        <v>108.92333333333335</v>
      </c>
      <c r="G28" s="33">
        <f>AVERAGE(Dados!G24:G29)</f>
        <v>104.87</v>
      </c>
      <c r="H28" s="33">
        <f>AVERAGE(Dados!H24:H29)</f>
        <v>107.92999999999999</v>
      </c>
      <c r="I28" s="33">
        <f>AVERAGE(Dados!I24:I29)</f>
        <v>103.32666666666667</v>
      </c>
      <c r="J28" s="33">
        <f>AVERAGE(Dados!J24:J29)</f>
        <v>108.35000000000002</v>
      </c>
      <c r="K28" s="33">
        <f>AVERAGE(Dados!K24:K29)</f>
        <v>106.97833333333331</v>
      </c>
    </row>
    <row r="29" spans="1:11" x14ac:dyDescent="0.25">
      <c r="A29" s="32">
        <v>38322</v>
      </c>
      <c r="B29" s="33">
        <f>AVERAGE(Dados!B25:B30)</f>
        <v>108.77999999999999</v>
      </c>
      <c r="C29" s="33">
        <f>AVERAGE(Dados!C25:C30)</f>
        <v>104.09500000000001</v>
      </c>
      <c r="D29" s="33">
        <f>AVERAGE(Dados!D25:D30)</f>
        <v>103.74666666666667</v>
      </c>
      <c r="E29" s="33">
        <f>AVERAGE(Dados!E25:E30)</f>
        <v>104.00333333333333</v>
      </c>
      <c r="F29" s="33">
        <f>AVERAGE(Dados!F25:F30)</f>
        <v>109.75</v>
      </c>
      <c r="G29" s="33">
        <f>AVERAGE(Dados!G25:G30)</f>
        <v>105.16500000000001</v>
      </c>
      <c r="H29" s="33">
        <f>AVERAGE(Dados!H25:H30)</f>
        <v>108.69166666666666</v>
      </c>
      <c r="I29" s="33">
        <f>AVERAGE(Dados!I25:I30)</f>
        <v>103.79666666666668</v>
      </c>
      <c r="J29" s="33">
        <f>AVERAGE(Dados!J25:J30)</f>
        <v>109.21833333333335</v>
      </c>
      <c r="K29" s="33">
        <f>AVERAGE(Dados!K25:K30)</f>
        <v>106.20833333333333</v>
      </c>
    </row>
    <row r="30" spans="1:11" x14ac:dyDescent="0.25">
      <c r="A30" s="32">
        <v>38353</v>
      </c>
      <c r="B30" s="33">
        <f>AVERAGE(Dados!B26:B31)</f>
        <v>109.10333333333334</v>
      </c>
      <c r="C30" s="33">
        <f>AVERAGE(Dados!C26:C31)</f>
        <v>104.24833333333333</v>
      </c>
      <c r="D30" s="33">
        <f>AVERAGE(Dados!D26:D31)</f>
        <v>104.27</v>
      </c>
      <c r="E30" s="33">
        <f>AVERAGE(Dados!E26:E31)</f>
        <v>104.46999999999998</v>
      </c>
      <c r="F30" s="33">
        <f>AVERAGE(Dados!F26:F31)</f>
        <v>110.175</v>
      </c>
      <c r="G30" s="33">
        <f>AVERAGE(Dados!G26:G31)</f>
        <v>104.98666666666668</v>
      </c>
      <c r="H30" s="33">
        <f>AVERAGE(Dados!H26:H31)</f>
        <v>109.11166666666666</v>
      </c>
      <c r="I30" s="33">
        <f>AVERAGE(Dados!I26:I31)</f>
        <v>104.05500000000001</v>
      </c>
      <c r="J30" s="33">
        <f>AVERAGE(Dados!J26:J31)</f>
        <v>109.61666666666667</v>
      </c>
      <c r="K30" s="33">
        <f>AVERAGE(Dados!K26:K31)</f>
        <v>105.50500000000001</v>
      </c>
    </row>
    <row r="31" spans="1:11" x14ac:dyDescent="0.25">
      <c r="A31" s="32">
        <v>38384</v>
      </c>
      <c r="B31" s="33">
        <f>AVERAGE(Dados!B27:B32)</f>
        <v>109.44</v>
      </c>
      <c r="C31" s="33">
        <f>AVERAGE(Dados!C27:C32)</f>
        <v>104.40833333333332</v>
      </c>
      <c r="D31" s="33">
        <f>AVERAGE(Dados!D27:D32)</f>
        <v>104.75333333333333</v>
      </c>
      <c r="E31" s="33">
        <f>AVERAGE(Dados!E27:E32)</f>
        <v>104.69499999999999</v>
      </c>
      <c r="F31" s="33">
        <f>AVERAGE(Dados!F27:F32)</f>
        <v>110.55166666666668</v>
      </c>
      <c r="G31" s="33">
        <f>AVERAGE(Dados!G27:G32)</f>
        <v>104.97833333333335</v>
      </c>
      <c r="H31" s="33">
        <f>AVERAGE(Dados!H27:H32)</f>
        <v>109.09166666666668</v>
      </c>
      <c r="I31" s="33">
        <f>AVERAGE(Dados!I27:I32)</f>
        <v>104.30166666666668</v>
      </c>
      <c r="J31" s="33">
        <f>AVERAGE(Dados!J27:J32)</f>
        <v>109.61166666666668</v>
      </c>
      <c r="K31" s="33">
        <f>AVERAGE(Dados!K27:K32)</f>
        <v>106.02666666666666</v>
      </c>
    </row>
    <row r="32" spans="1:11" x14ac:dyDescent="0.25">
      <c r="A32" s="32">
        <v>38412</v>
      </c>
      <c r="B32" s="33">
        <f>AVERAGE(Dados!B28:B33)</f>
        <v>109.63333333333333</v>
      </c>
      <c r="C32" s="33">
        <f>AVERAGE(Dados!C28:C33)</f>
        <v>104.68499999999999</v>
      </c>
      <c r="D32" s="33">
        <f>AVERAGE(Dados!D28:D33)</f>
        <v>105.22333333333331</v>
      </c>
      <c r="E32" s="33">
        <f>AVERAGE(Dados!E28:E33)</f>
        <v>104.58166666666666</v>
      </c>
      <c r="F32" s="33">
        <f>AVERAGE(Dados!F28:F33)</f>
        <v>110.75333333333333</v>
      </c>
      <c r="G32" s="33">
        <f>AVERAGE(Dados!G28:G33)</f>
        <v>105.47499999999998</v>
      </c>
      <c r="H32" s="33">
        <f>AVERAGE(Dados!H28:H33)</f>
        <v>109.33166666666666</v>
      </c>
      <c r="I32" s="33">
        <f>AVERAGE(Dados!I28:I33)</f>
        <v>104.62333333333333</v>
      </c>
      <c r="J32" s="33">
        <f>AVERAGE(Dados!J28:J33)</f>
        <v>109.92</v>
      </c>
      <c r="K32" s="33">
        <f>AVERAGE(Dados!K28:K33)</f>
        <v>106.51833333333333</v>
      </c>
    </row>
    <row r="33" spans="1:11" x14ac:dyDescent="0.25">
      <c r="A33" s="32">
        <v>38443</v>
      </c>
      <c r="B33" s="33">
        <f>AVERAGE(Dados!B29:B34)</f>
        <v>110.01333333333334</v>
      </c>
      <c r="C33" s="33">
        <f>AVERAGE(Dados!C29:C34)</f>
        <v>105.04666666666667</v>
      </c>
      <c r="D33" s="33">
        <f>AVERAGE(Dados!D29:D34)</f>
        <v>105.52833333333331</v>
      </c>
      <c r="E33" s="33">
        <f>AVERAGE(Dados!E29:E34)</f>
        <v>104.70833333333333</v>
      </c>
      <c r="F33" s="33">
        <f>AVERAGE(Dados!F29:F34)</f>
        <v>110.91166666666665</v>
      </c>
      <c r="G33" s="33">
        <f>AVERAGE(Dados!G29:G34)</f>
        <v>102.56500000000001</v>
      </c>
      <c r="H33" s="33">
        <f>AVERAGE(Dados!H29:H34)</f>
        <v>109.435</v>
      </c>
      <c r="I33" s="33">
        <f>AVERAGE(Dados!I29:I34)</f>
        <v>104.93666666666665</v>
      </c>
      <c r="J33" s="33">
        <f>AVERAGE(Dados!J29:J34)</f>
        <v>110.09499999999998</v>
      </c>
      <c r="K33" s="33">
        <f>AVERAGE(Dados!K29:K34)</f>
        <v>106.92333333333333</v>
      </c>
    </row>
    <row r="34" spans="1:11" x14ac:dyDescent="0.25">
      <c r="A34" s="32">
        <v>38473</v>
      </c>
      <c r="B34" s="33">
        <f>AVERAGE(Dados!B30:B35)</f>
        <v>110.22166666666668</v>
      </c>
      <c r="C34" s="33">
        <f>AVERAGE(Dados!C30:C35)</f>
        <v>105.22833333333334</v>
      </c>
      <c r="D34" s="33">
        <f>AVERAGE(Dados!D30:D35)</f>
        <v>106.34666666666668</v>
      </c>
      <c r="E34" s="33">
        <f>AVERAGE(Dados!E30:E35)</f>
        <v>104.72499999999998</v>
      </c>
      <c r="F34" s="33">
        <f>AVERAGE(Dados!F30:F35)</f>
        <v>111.045</v>
      </c>
      <c r="G34" s="33">
        <f>AVERAGE(Dados!G30:G35)</f>
        <v>102.22166666666668</v>
      </c>
      <c r="H34" s="33">
        <f>AVERAGE(Dados!H30:H35)</f>
        <v>109.54</v>
      </c>
      <c r="I34" s="33">
        <f>AVERAGE(Dados!I30:I35)</f>
        <v>105.43333333333334</v>
      </c>
      <c r="J34" s="33">
        <f>AVERAGE(Dados!J30:J35)</f>
        <v>110.12499999999999</v>
      </c>
      <c r="K34" s="33">
        <f>AVERAGE(Dados!K30:K35)</f>
        <v>107.32666666666667</v>
      </c>
    </row>
    <row r="35" spans="1:11" x14ac:dyDescent="0.25">
      <c r="A35" s="32">
        <v>38504</v>
      </c>
      <c r="B35" s="33">
        <f>AVERAGE(Dados!B31:B36)</f>
        <v>110.48333333333335</v>
      </c>
      <c r="C35" s="33">
        <f>AVERAGE(Dados!C31:C36)</f>
        <v>105.30999999999999</v>
      </c>
      <c r="D35" s="33">
        <f>AVERAGE(Dados!D31:D36)</f>
        <v>106.66333333333334</v>
      </c>
      <c r="E35" s="33">
        <f>AVERAGE(Dados!E31:E36)</f>
        <v>104.39999999999998</v>
      </c>
      <c r="F35" s="33">
        <f>AVERAGE(Dados!F31:F36)</f>
        <v>111.09833333333334</v>
      </c>
      <c r="G35" s="33">
        <f>AVERAGE(Dados!G31:G36)</f>
        <v>102.14333333333333</v>
      </c>
      <c r="H35" s="33">
        <f>AVERAGE(Dados!H31:H36)</f>
        <v>109.31999999999998</v>
      </c>
      <c r="I35" s="33">
        <f>AVERAGE(Dados!I31:I36)</f>
        <v>105.48166666666667</v>
      </c>
      <c r="J35" s="33">
        <f>AVERAGE(Dados!J31:J36)</f>
        <v>110.12833333333333</v>
      </c>
      <c r="K35" s="33">
        <f>AVERAGE(Dados!K31:K36)</f>
        <v>108.55333333333333</v>
      </c>
    </row>
    <row r="36" spans="1:11" x14ac:dyDescent="0.25">
      <c r="A36" s="32">
        <v>38534</v>
      </c>
      <c r="B36" s="33">
        <f>AVERAGE(Dados!B32:B37)</f>
        <v>110.65666666666668</v>
      </c>
      <c r="C36" s="33">
        <f>AVERAGE(Dados!C32:C37)</f>
        <v>105.34999999999998</v>
      </c>
      <c r="D36" s="33">
        <f>AVERAGE(Dados!D32:D37)</f>
        <v>107.065</v>
      </c>
      <c r="E36" s="33">
        <f>AVERAGE(Dados!E32:E37)</f>
        <v>104.40833333333332</v>
      </c>
      <c r="F36" s="33">
        <f>AVERAGE(Dados!F32:F37)</f>
        <v>111.22166666666668</v>
      </c>
      <c r="G36" s="33">
        <f>AVERAGE(Dados!G32:G37)</f>
        <v>102.17333333333335</v>
      </c>
      <c r="H36" s="33">
        <f>AVERAGE(Dados!H32:H37)</f>
        <v>109.15333333333335</v>
      </c>
      <c r="I36" s="33">
        <f>AVERAGE(Dados!I32:I37)</f>
        <v>105.83166666666666</v>
      </c>
      <c r="J36" s="33">
        <f>AVERAGE(Dados!J32:J37)</f>
        <v>109.96</v>
      </c>
      <c r="K36" s="33">
        <f>AVERAGE(Dados!K32:K37)</f>
        <v>110.56</v>
      </c>
    </row>
    <row r="37" spans="1:11" x14ac:dyDescent="0.25">
      <c r="A37" s="32">
        <v>38565</v>
      </c>
      <c r="B37" s="33">
        <f>AVERAGE(Dados!B33:B38)</f>
        <v>110.81833333333334</v>
      </c>
      <c r="C37" s="33">
        <f>AVERAGE(Dados!C33:C38)</f>
        <v>105.56166666666665</v>
      </c>
      <c r="D37" s="33">
        <f>AVERAGE(Dados!D33:D38)</f>
        <v>107.37</v>
      </c>
      <c r="E37" s="33">
        <f>AVERAGE(Dados!E33:E38)</f>
        <v>104.43666666666667</v>
      </c>
      <c r="F37" s="33">
        <f>AVERAGE(Dados!F33:F38)</f>
        <v>111.57666666666667</v>
      </c>
      <c r="G37" s="33">
        <f>AVERAGE(Dados!G33:G38)</f>
        <v>102.26666666666667</v>
      </c>
      <c r="H37" s="33">
        <f>AVERAGE(Dados!H33:H38)</f>
        <v>109.17</v>
      </c>
      <c r="I37" s="33">
        <f>AVERAGE(Dados!I33:I38)</f>
        <v>106.31666666666668</v>
      </c>
      <c r="J37" s="33">
        <f>AVERAGE(Dados!J33:J38)</f>
        <v>109.66000000000001</v>
      </c>
      <c r="K37" s="33">
        <f>AVERAGE(Dados!K33:K38)</f>
        <v>111.50333333333333</v>
      </c>
    </row>
    <row r="38" spans="1:11" x14ac:dyDescent="0.25">
      <c r="A38" s="32">
        <v>38596</v>
      </c>
      <c r="B38" s="33">
        <f>AVERAGE(Dados!B34:B39)</f>
        <v>110.87</v>
      </c>
      <c r="C38" s="33">
        <f>AVERAGE(Dados!C34:C39)</f>
        <v>105.76</v>
      </c>
      <c r="D38" s="33">
        <f>AVERAGE(Dados!D34:D39)</f>
        <v>107.505</v>
      </c>
      <c r="E38" s="33">
        <f>AVERAGE(Dados!E34:E39)</f>
        <v>104.52</v>
      </c>
      <c r="F38" s="33">
        <f>AVERAGE(Dados!F34:F39)</f>
        <v>111.85166666666669</v>
      </c>
      <c r="G38" s="33">
        <f>AVERAGE(Dados!G34:G39)</f>
        <v>101.81</v>
      </c>
      <c r="H38" s="33">
        <f>AVERAGE(Dados!H34:H39)</f>
        <v>108.67166666666667</v>
      </c>
      <c r="I38" s="33">
        <f>AVERAGE(Dados!I34:I39)</f>
        <v>106.81833333333334</v>
      </c>
      <c r="J38" s="33">
        <f>AVERAGE(Dados!J34:J39)</f>
        <v>109.31666666666666</v>
      </c>
      <c r="K38" s="33">
        <f>AVERAGE(Dados!K34:K39)</f>
        <v>111.99000000000001</v>
      </c>
    </row>
    <row r="39" spans="1:11" x14ac:dyDescent="0.25">
      <c r="A39" s="32">
        <v>38626</v>
      </c>
      <c r="B39" s="33">
        <f>AVERAGE(Dados!B35:B40)</f>
        <v>110.84666666666665</v>
      </c>
      <c r="C39" s="33">
        <f>AVERAGE(Dados!C35:C40)</f>
        <v>105.96</v>
      </c>
      <c r="D39" s="33">
        <f>AVERAGE(Dados!D35:D40)</f>
        <v>107.75666666666666</v>
      </c>
      <c r="E39" s="33">
        <f>AVERAGE(Dados!E35:E40)</f>
        <v>104.67666666666668</v>
      </c>
      <c r="F39" s="33">
        <f>AVERAGE(Dados!F35:F40)</f>
        <v>112.15333333333332</v>
      </c>
      <c r="G39" s="33">
        <f>AVERAGE(Dados!G35:G40)</f>
        <v>104.23666666666668</v>
      </c>
      <c r="H39" s="33">
        <f>AVERAGE(Dados!H35:H40)</f>
        <v>108.54</v>
      </c>
      <c r="I39" s="33">
        <f>AVERAGE(Dados!I35:I40)</f>
        <v>107.11166666666668</v>
      </c>
      <c r="J39" s="33">
        <f>AVERAGE(Dados!J35:J40)</f>
        <v>108.95666666666669</v>
      </c>
      <c r="K39" s="33">
        <f>AVERAGE(Dados!K35:K40)</f>
        <v>112.40500000000002</v>
      </c>
    </row>
    <row r="40" spans="1:11" x14ac:dyDescent="0.25">
      <c r="A40" s="32">
        <v>38657</v>
      </c>
      <c r="B40" s="33">
        <f>AVERAGE(Dados!B36:B41)</f>
        <v>111</v>
      </c>
      <c r="C40" s="33">
        <f>AVERAGE(Dados!C36:C41)</f>
        <v>106.32499999999999</v>
      </c>
      <c r="D40" s="33">
        <f>AVERAGE(Dados!D36:D41)</f>
        <v>108.03499999999998</v>
      </c>
      <c r="E40" s="33">
        <f>AVERAGE(Dados!E36:E41)</f>
        <v>104.96000000000002</v>
      </c>
      <c r="F40" s="33">
        <f>AVERAGE(Dados!F36:F41)</f>
        <v>112.54166666666667</v>
      </c>
      <c r="G40" s="33">
        <f>AVERAGE(Dados!G36:G41)</f>
        <v>104.26</v>
      </c>
      <c r="H40" s="33">
        <f>AVERAGE(Dados!H36:H41)</f>
        <v>108.72666666666667</v>
      </c>
      <c r="I40" s="33">
        <f>AVERAGE(Dados!I36:I41)</f>
        <v>107.43999999999998</v>
      </c>
      <c r="J40" s="33">
        <f>AVERAGE(Dados!J36:J41)</f>
        <v>108.61000000000001</v>
      </c>
      <c r="K40" s="33">
        <f>AVERAGE(Dados!K36:K41)</f>
        <v>112.61999999999999</v>
      </c>
    </row>
    <row r="41" spans="1:11" x14ac:dyDescent="0.25">
      <c r="A41" s="32">
        <v>38687</v>
      </c>
      <c r="B41" s="33">
        <f>AVERAGE(Dados!B37:B42)</f>
        <v>111.28833333333334</v>
      </c>
      <c r="C41" s="33">
        <f>AVERAGE(Dados!C37:C42)</f>
        <v>106.70166666666667</v>
      </c>
      <c r="D41" s="33">
        <f>AVERAGE(Dados!D37:D42)</f>
        <v>108.59333333333335</v>
      </c>
      <c r="E41" s="33">
        <f>AVERAGE(Dados!E37:E42)</f>
        <v>105.51</v>
      </c>
      <c r="F41" s="33">
        <f>AVERAGE(Dados!F37:F42)</f>
        <v>113.02166666666666</v>
      </c>
      <c r="G41" s="33">
        <f>AVERAGE(Dados!G37:G42)</f>
        <v>104.01666666666667</v>
      </c>
      <c r="H41" s="33">
        <f>AVERAGE(Dados!H37:H42)</f>
        <v>108.91333333333334</v>
      </c>
      <c r="I41" s="33">
        <f>AVERAGE(Dados!I37:I42)</f>
        <v>107.94833333333334</v>
      </c>
      <c r="J41" s="33">
        <f>AVERAGE(Dados!J37:J42)</f>
        <v>108.40333333333332</v>
      </c>
      <c r="K41" s="33">
        <f>AVERAGE(Dados!K37:K42)</f>
        <v>112.48333333333335</v>
      </c>
    </row>
    <row r="42" spans="1:11" x14ac:dyDescent="0.25">
      <c r="A42" s="32">
        <v>38718</v>
      </c>
      <c r="B42" s="33">
        <f>AVERAGE(Dados!B38:B43)</f>
        <v>111.72666666666669</v>
      </c>
      <c r="C42" s="33">
        <f>AVERAGE(Dados!C38:C43)</f>
        <v>107.27166666666669</v>
      </c>
      <c r="D42" s="33">
        <f>AVERAGE(Dados!D38:D43)</f>
        <v>108.96999999999998</v>
      </c>
      <c r="E42" s="33">
        <f>AVERAGE(Dados!E38:E43)</f>
        <v>106.53333333333335</v>
      </c>
      <c r="F42" s="33">
        <f>AVERAGE(Dados!F38:F43)</f>
        <v>113.70333333333333</v>
      </c>
      <c r="G42" s="33">
        <f>AVERAGE(Dados!G38:G43)</f>
        <v>104.435</v>
      </c>
      <c r="H42" s="33">
        <f>AVERAGE(Dados!H38:H43)</f>
        <v>109.52</v>
      </c>
      <c r="I42" s="33">
        <f>AVERAGE(Dados!I38:I43)</f>
        <v>108.52666666666666</v>
      </c>
      <c r="J42" s="33">
        <f>AVERAGE(Dados!J38:J43)</f>
        <v>108.93333333333332</v>
      </c>
      <c r="K42" s="33">
        <f>AVERAGE(Dados!K38:K43)</f>
        <v>111.705</v>
      </c>
    </row>
    <row r="43" spans="1:11" x14ac:dyDescent="0.25">
      <c r="A43" s="32">
        <v>38749</v>
      </c>
      <c r="B43" s="33">
        <f>AVERAGE(Dados!B39:B44)</f>
        <v>112.12666666666668</v>
      </c>
      <c r="C43" s="33">
        <f>AVERAGE(Dados!C39:C44)</f>
        <v>107.83666666666666</v>
      </c>
      <c r="D43" s="33">
        <f>AVERAGE(Dados!D39:D44)</f>
        <v>109.26999999999998</v>
      </c>
      <c r="E43" s="33">
        <f>AVERAGE(Dados!E39:E44)</f>
        <v>107.49666666666667</v>
      </c>
      <c r="F43" s="33">
        <f>AVERAGE(Dados!F39:F44)</f>
        <v>114.30000000000001</v>
      </c>
      <c r="G43" s="33">
        <f>AVERAGE(Dados!G39:G44)</f>
        <v>104.83833333333335</v>
      </c>
      <c r="H43" s="33">
        <f>AVERAGE(Dados!H39:H44)</f>
        <v>109.97333333333334</v>
      </c>
      <c r="I43" s="33">
        <f>AVERAGE(Dados!I39:I44)</f>
        <v>109.105</v>
      </c>
      <c r="J43" s="33">
        <f>AVERAGE(Dados!J39:J44)</f>
        <v>109.22666666666665</v>
      </c>
      <c r="K43" s="33">
        <f>AVERAGE(Dados!K39:K44)</f>
        <v>111.96166666666666</v>
      </c>
    </row>
    <row r="44" spans="1:11" x14ac:dyDescent="0.25">
      <c r="A44" s="32">
        <v>38777</v>
      </c>
      <c r="B44" s="33">
        <f>AVERAGE(Dados!B40:B45)</f>
        <v>112.63666666666666</v>
      </c>
      <c r="C44" s="33">
        <f>AVERAGE(Dados!C40:C45)</f>
        <v>108.16000000000001</v>
      </c>
      <c r="D44" s="33">
        <f>AVERAGE(Dados!D40:D45)</f>
        <v>109.66500000000001</v>
      </c>
      <c r="E44" s="33">
        <f>AVERAGE(Dados!E40:E45)</f>
        <v>108.54166666666667</v>
      </c>
      <c r="F44" s="33">
        <f>AVERAGE(Dados!F40:F45)</f>
        <v>114.91333333333334</v>
      </c>
      <c r="G44" s="33">
        <f>AVERAGE(Dados!G40:G45)</f>
        <v>104.39</v>
      </c>
      <c r="H44" s="33">
        <f>AVERAGE(Dados!H40:H45)</f>
        <v>110.53666666666668</v>
      </c>
      <c r="I44" s="33">
        <f>AVERAGE(Dados!I40:I45)</f>
        <v>109.28166666666665</v>
      </c>
      <c r="J44" s="33">
        <f>AVERAGE(Dados!J40:J45)</f>
        <v>108.83499999999999</v>
      </c>
      <c r="K44" s="33">
        <f>AVERAGE(Dados!K40:K45)</f>
        <v>112.50666666666667</v>
      </c>
    </row>
    <row r="45" spans="1:11" x14ac:dyDescent="0.25">
      <c r="A45" s="32">
        <v>38808</v>
      </c>
      <c r="B45" s="33">
        <f>AVERAGE(Dados!B41:B46)</f>
        <v>113.17</v>
      </c>
      <c r="C45" s="33">
        <f>AVERAGE(Dados!C41:C46)</f>
        <v>108.62833333333333</v>
      </c>
      <c r="D45" s="33">
        <f>AVERAGE(Dados!D41:D46)</f>
        <v>110.42166666666667</v>
      </c>
      <c r="E45" s="33">
        <f>AVERAGE(Dados!E41:E46)</f>
        <v>109.52</v>
      </c>
      <c r="F45" s="33">
        <f>AVERAGE(Dados!F41:F46)</f>
        <v>115.57333333333334</v>
      </c>
      <c r="G45" s="33">
        <f>AVERAGE(Dados!G41:G46)</f>
        <v>103.98499999999997</v>
      </c>
      <c r="H45" s="33">
        <f>AVERAGE(Dados!H41:H46)</f>
        <v>110.79666666666667</v>
      </c>
      <c r="I45" s="33">
        <f>AVERAGE(Dados!I41:I46)</f>
        <v>109.63666666666666</v>
      </c>
      <c r="J45" s="33">
        <f>AVERAGE(Dados!J41:J46)</f>
        <v>108.93833333333335</v>
      </c>
      <c r="K45" s="33">
        <f>AVERAGE(Dados!K41:K46)</f>
        <v>113.22333333333331</v>
      </c>
    </row>
    <row r="46" spans="1:11" x14ac:dyDescent="0.25">
      <c r="A46" s="32">
        <v>38838</v>
      </c>
      <c r="B46" s="33">
        <f>AVERAGE(Dados!B42:B47)</f>
        <v>113.79166666666667</v>
      </c>
      <c r="C46" s="33">
        <f>AVERAGE(Dados!C42:C47)</f>
        <v>109.26666666666665</v>
      </c>
      <c r="D46" s="33">
        <f>AVERAGE(Dados!D42:D47)</f>
        <v>110.83</v>
      </c>
      <c r="E46" s="33">
        <f>AVERAGE(Dados!E42:E47)</f>
        <v>110.73666666666668</v>
      </c>
      <c r="F46" s="33">
        <f>AVERAGE(Dados!F42:F47)</f>
        <v>116.22833333333334</v>
      </c>
      <c r="G46" s="33">
        <f>AVERAGE(Dados!G42:G47)</f>
        <v>104.515</v>
      </c>
      <c r="H46" s="33">
        <f>AVERAGE(Dados!H42:H47)</f>
        <v>111.17166666666667</v>
      </c>
      <c r="I46" s="33">
        <f>AVERAGE(Dados!I42:I47)</f>
        <v>109.84333333333332</v>
      </c>
      <c r="J46" s="33">
        <f>AVERAGE(Dados!J42:J47)</f>
        <v>109.71500000000002</v>
      </c>
      <c r="K46" s="33">
        <f>AVERAGE(Dados!K42:K47)</f>
        <v>113.89833333333335</v>
      </c>
    </row>
    <row r="47" spans="1:11" x14ac:dyDescent="0.25">
      <c r="A47" s="32">
        <v>38869</v>
      </c>
      <c r="B47" s="33">
        <f>AVERAGE(Dados!B43:B48)</f>
        <v>114.21999999999998</v>
      </c>
      <c r="C47" s="33">
        <f>AVERAGE(Dados!C43:C48)</f>
        <v>109.935</v>
      </c>
      <c r="D47" s="33">
        <f>AVERAGE(Dados!D43:D48)</f>
        <v>111.10166666666669</v>
      </c>
      <c r="E47" s="33">
        <f>AVERAGE(Dados!E43:E48)</f>
        <v>111.68333333333332</v>
      </c>
      <c r="F47" s="33">
        <f>AVERAGE(Dados!F43:F48)</f>
        <v>116.455</v>
      </c>
      <c r="G47" s="33">
        <f>AVERAGE(Dados!G43:G48)</f>
        <v>104.98333333333333</v>
      </c>
      <c r="H47" s="33">
        <f>AVERAGE(Dados!H43:H48)</f>
        <v>111.15833333333335</v>
      </c>
      <c r="I47" s="33">
        <f>AVERAGE(Dados!I43:I48)</f>
        <v>109.78500000000001</v>
      </c>
      <c r="J47" s="33">
        <f>AVERAGE(Dados!J43:J48)</f>
        <v>110.23</v>
      </c>
      <c r="K47" s="33">
        <f>AVERAGE(Dados!K43:K48)</f>
        <v>113.98500000000001</v>
      </c>
    </row>
    <row r="48" spans="1:11" x14ac:dyDescent="0.25">
      <c r="A48" s="32">
        <v>38899</v>
      </c>
      <c r="B48" s="33">
        <f>AVERAGE(Dados!B44:B49)</f>
        <v>114.81</v>
      </c>
      <c r="C48" s="33">
        <f>AVERAGE(Dados!C44:C49)</f>
        <v>110.7</v>
      </c>
      <c r="D48" s="33">
        <f>AVERAGE(Dados!D44:D49)</f>
        <v>111.67166666666668</v>
      </c>
      <c r="E48" s="33">
        <f>AVERAGE(Dados!E44:E49)</f>
        <v>112.39166666666669</v>
      </c>
      <c r="F48" s="33">
        <f>AVERAGE(Dados!F44:F49)</f>
        <v>116.84499999999998</v>
      </c>
      <c r="G48" s="33">
        <f>AVERAGE(Dados!G44:G49)</f>
        <v>105.09666666666665</v>
      </c>
      <c r="H48" s="33">
        <f>AVERAGE(Dados!H44:H49)</f>
        <v>111.31</v>
      </c>
      <c r="I48" s="33">
        <f>AVERAGE(Dados!I44:I49)</f>
        <v>109.92000000000002</v>
      </c>
      <c r="J48" s="33">
        <f>AVERAGE(Dados!J44:J49)</f>
        <v>110.08666666666666</v>
      </c>
      <c r="K48" s="33">
        <f>AVERAGE(Dados!K44:K49)</f>
        <v>113.95166666666667</v>
      </c>
    </row>
    <row r="49" spans="1:11" x14ac:dyDescent="0.25">
      <c r="A49" s="32">
        <v>38930</v>
      </c>
      <c r="B49" s="33">
        <f>AVERAGE(Dados!B45:B50)</f>
        <v>115.295</v>
      </c>
      <c r="C49" s="33">
        <f>AVERAGE(Dados!C45:C50)</f>
        <v>111.185</v>
      </c>
      <c r="D49" s="33">
        <f>AVERAGE(Dados!D45:D50)</f>
        <v>112.145</v>
      </c>
      <c r="E49" s="33">
        <f>AVERAGE(Dados!E45:E50)</f>
        <v>113.16666666666667</v>
      </c>
      <c r="F49" s="33">
        <f>AVERAGE(Dados!F45:F50)</f>
        <v>117.14333333333333</v>
      </c>
      <c r="G49" s="33">
        <f>AVERAGE(Dados!G45:G50)</f>
        <v>105.11333333333334</v>
      </c>
      <c r="H49" s="33">
        <f>AVERAGE(Dados!H45:H50)</f>
        <v>111.58833333333332</v>
      </c>
      <c r="I49" s="33">
        <f>AVERAGE(Dados!I45:I50)</f>
        <v>109.87166666666667</v>
      </c>
      <c r="J49" s="33">
        <f>AVERAGE(Dados!J45:J50)</f>
        <v>110.27333333333333</v>
      </c>
      <c r="K49" s="33">
        <f>AVERAGE(Dados!K45:K50)</f>
        <v>113.83333333333333</v>
      </c>
    </row>
    <row r="50" spans="1:11" x14ac:dyDescent="0.25">
      <c r="A50" s="32">
        <v>38961</v>
      </c>
      <c r="B50" s="33">
        <f>AVERAGE(Dados!B46:B51)</f>
        <v>115.78500000000001</v>
      </c>
      <c r="C50" s="33">
        <f>AVERAGE(Dados!C46:C51)</f>
        <v>111.78333333333332</v>
      </c>
      <c r="D50" s="33">
        <f>AVERAGE(Dados!D46:D51)</f>
        <v>112.80166666666666</v>
      </c>
      <c r="E50" s="33">
        <f>AVERAGE(Dados!E46:E51)</f>
        <v>113.71666666666665</v>
      </c>
      <c r="F50" s="33">
        <f>AVERAGE(Dados!F46:F51)</f>
        <v>117.28000000000002</v>
      </c>
      <c r="G50" s="33">
        <f>AVERAGE(Dados!G46:G51)</f>
        <v>106.35500000000002</v>
      </c>
      <c r="H50" s="33">
        <f>AVERAGE(Dados!H46:H51)</f>
        <v>112.10333333333331</v>
      </c>
      <c r="I50" s="33">
        <f>AVERAGE(Dados!I46:I51)</f>
        <v>110.12833333333333</v>
      </c>
      <c r="J50" s="33">
        <f>AVERAGE(Dados!J46:J51)</f>
        <v>110.47666666666667</v>
      </c>
      <c r="K50" s="33">
        <f>AVERAGE(Dados!K46:K51)</f>
        <v>113.96</v>
      </c>
    </row>
    <row r="51" spans="1:11" x14ac:dyDescent="0.25">
      <c r="A51" s="32">
        <v>38991</v>
      </c>
      <c r="B51" s="33">
        <f>AVERAGE(Dados!B47:B52)</f>
        <v>116.44333333333333</v>
      </c>
      <c r="C51" s="33">
        <f>AVERAGE(Dados!C47:C52)</f>
        <v>112.26499999999999</v>
      </c>
      <c r="D51" s="33">
        <f>AVERAGE(Dados!D47:D52)</f>
        <v>113.25166666666667</v>
      </c>
      <c r="E51" s="33">
        <f>AVERAGE(Dados!E47:E52)</f>
        <v>114.26</v>
      </c>
      <c r="F51" s="33">
        <f>AVERAGE(Dados!F47:F52)</f>
        <v>117.51166666666667</v>
      </c>
      <c r="G51" s="33">
        <f>AVERAGE(Dados!G47:G52)</f>
        <v>107.64666666666665</v>
      </c>
      <c r="H51" s="33">
        <f>AVERAGE(Dados!H47:H52)</f>
        <v>112.72499999999998</v>
      </c>
      <c r="I51" s="33">
        <f>AVERAGE(Dados!I47:I52)</f>
        <v>110.31833333333333</v>
      </c>
      <c r="J51" s="33">
        <f>AVERAGE(Dados!J47:J52)</f>
        <v>110.96333333333335</v>
      </c>
      <c r="K51" s="33">
        <f>AVERAGE(Dados!K47:K52)</f>
        <v>114.04166666666667</v>
      </c>
    </row>
    <row r="52" spans="1:11" x14ac:dyDescent="0.25">
      <c r="A52" s="32">
        <v>39022</v>
      </c>
      <c r="B52" s="33">
        <f>AVERAGE(Dados!B48:B53)</f>
        <v>116.99166666666667</v>
      </c>
      <c r="C52" s="33">
        <f>AVERAGE(Dados!C48:C53)</f>
        <v>112.63499999999999</v>
      </c>
      <c r="D52" s="33">
        <f>AVERAGE(Dados!D48:D53)</f>
        <v>113.80000000000001</v>
      </c>
      <c r="E52" s="33">
        <f>AVERAGE(Dados!E48:E53)</f>
        <v>114.23833333333333</v>
      </c>
      <c r="F52" s="33">
        <f>AVERAGE(Dados!F48:F53)</f>
        <v>117.64</v>
      </c>
      <c r="G52" s="33">
        <f>AVERAGE(Dados!G48:G53)</f>
        <v>107.74166666666667</v>
      </c>
      <c r="H52" s="33">
        <f>AVERAGE(Dados!H48:H53)</f>
        <v>112.94500000000001</v>
      </c>
      <c r="I52" s="33">
        <f>AVERAGE(Dados!I48:I53)</f>
        <v>110.55666666666667</v>
      </c>
      <c r="J52" s="33">
        <f>AVERAGE(Dados!J48:J53)</f>
        <v>111.02833333333332</v>
      </c>
      <c r="K52" s="33">
        <f>AVERAGE(Dados!K48:K53)</f>
        <v>114.17666666666666</v>
      </c>
    </row>
    <row r="53" spans="1:11" x14ac:dyDescent="0.25">
      <c r="A53" s="32">
        <v>39052</v>
      </c>
      <c r="B53" s="33">
        <f>AVERAGE(Dados!B49:B54)</f>
        <v>117.87833333333334</v>
      </c>
      <c r="C53" s="33">
        <f>AVERAGE(Dados!C49:C54)</f>
        <v>113.15833333333335</v>
      </c>
      <c r="D53" s="33">
        <f>AVERAGE(Dados!D49:D54)</f>
        <v>114.30333333333334</v>
      </c>
      <c r="E53" s="33">
        <f>AVERAGE(Dados!E49:E54)</f>
        <v>114.20333333333333</v>
      </c>
      <c r="F53" s="33">
        <f>AVERAGE(Dados!F49:F54)</f>
        <v>118.30500000000001</v>
      </c>
      <c r="G53" s="33">
        <f>AVERAGE(Dados!G49:G54)</f>
        <v>108.04166666666667</v>
      </c>
      <c r="H53" s="33">
        <f>AVERAGE(Dados!H49:H54)</f>
        <v>113.84499999999998</v>
      </c>
      <c r="I53" s="33">
        <f>AVERAGE(Dados!I49:I54)</f>
        <v>111.14666666666666</v>
      </c>
      <c r="J53" s="33">
        <f>AVERAGE(Dados!J49:J54)</f>
        <v>111.66333333333334</v>
      </c>
      <c r="K53" s="33">
        <f>AVERAGE(Dados!K49:K54)</f>
        <v>114.22333333333334</v>
      </c>
    </row>
    <row r="54" spans="1:11" x14ac:dyDescent="0.25">
      <c r="A54" s="32">
        <v>39083</v>
      </c>
      <c r="B54" s="33">
        <f>AVERAGE(Dados!B50:B55)</f>
        <v>118.34833333333331</v>
      </c>
      <c r="C54" s="33">
        <f>AVERAGE(Dados!C50:C55)</f>
        <v>113.47833333333334</v>
      </c>
      <c r="D54" s="33">
        <f>AVERAGE(Dados!D50:D55)</f>
        <v>114.515</v>
      </c>
      <c r="E54" s="33">
        <f>AVERAGE(Dados!E50:E55)</f>
        <v>114.04666666666667</v>
      </c>
      <c r="F54" s="33">
        <f>AVERAGE(Dados!F50:F55)</f>
        <v>118.75666666666666</v>
      </c>
      <c r="G54" s="33">
        <f>AVERAGE(Dados!G50:G55)</f>
        <v>108.67333333333335</v>
      </c>
      <c r="H54" s="33">
        <f>AVERAGE(Dados!H50:H55)</f>
        <v>114.44333333333333</v>
      </c>
      <c r="I54" s="33">
        <f>AVERAGE(Dados!I50:I55)</f>
        <v>111.43833333333335</v>
      </c>
      <c r="J54" s="33">
        <f>AVERAGE(Dados!J50:J55)</f>
        <v>112.42666666666668</v>
      </c>
      <c r="K54" s="33">
        <f>AVERAGE(Dados!K50:K55)</f>
        <v>114.895</v>
      </c>
    </row>
    <row r="55" spans="1:11" x14ac:dyDescent="0.25">
      <c r="A55" s="32">
        <v>39114</v>
      </c>
      <c r="B55" s="33">
        <f>AVERAGE(Dados!B51:B56)</f>
        <v>118.95333333333332</v>
      </c>
      <c r="C55" s="33">
        <f>AVERAGE(Dados!C51:C56)</f>
        <v>114.02833333333332</v>
      </c>
      <c r="D55" s="33">
        <f>AVERAGE(Dados!D51:D56)</f>
        <v>114.99000000000001</v>
      </c>
      <c r="E55" s="33">
        <f>AVERAGE(Dados!E51:E56)</f>
        <v>114</v>
      </c>
      <c r="F55" s="33">
        <f>AVERAGE(Dados!F51:F56)</f>
        <v>119.54833333333333</v>
      </c>
      <c r="G55" s="33">
        <f>AVERAGE(Dados!G51:G56)</f>
        <v>109.935</v>
      </c>
      <c r="H55" s="33">
        <f>AVERAGE(Dados!H51:H56)</f>
        <v>115.69999999999999</v>
      </c>
      <c r="I55" s="33">
        <f>AVERAGE(Dados!I51:I56)</f>
        <v>111.87333333333333</v>
      </c>
      <c r="J55" s="33">
        <f>AVERAGE(Dados!J51:J56)</f>
        <v>113.26666666666667</v>
      </c>
      <c r="K55" s="33">
        <f>AVERAGE(Dados!K51:K56)</f>
        <v>115.36666666666666</v>
      </c>
    </row>
    <row r="56" spans="1:11" x14ac:dyDescent="0.25">
      <c r="A56" s="32">
        <v>39142</v>
      </c>
      <c r="B56" s="33">
        <f>AVERAGE(Dados!B52:B57)</f>
        <v>119.42833333333333</v>
      </c>
      <c r="C56" s="33">
        <f>AVERAGE(Dados!C52:C57)</f>
        <v>114.65333333333332</v>
      </c>
      <c r="D56" s="33">
        <f>AVERAGE(Dados!D52:D57)</f>
        <v>115.30333333333333</v>
      </c>
      <c r="E56" s="33">
        <f>AVERAGE(Dados!E52:E57)</f>
        <v>114.00999999999999</v>
      </c>
      <c r="F56" s="33">
        <f>AVERAGE(Dados!F52:F57)</f>
        <v>120.44333333333333</v>
      </c>
      <c r="G56" s="33">
        <f>AVERAGE(Dados!G52:G57)</f>
        <v>109.92666666666668</v>
      </c>
      <c r="H56" s="33">
        <f>AVERAGE(Dados!H52:H57)</f>
        <v>116.25833333333333</v>
      </c>
      <c r="I56" s="33">
        <f>AVERAGE(Dados!I52:I57)</f>
        <v>112.35333333333335</v>
      </c>
      <c r="J56" s="33">
        <f>AVERAGE(Dados!J52:J57)</f>
        <v>114.49666666666667</v>
      </c>
      <c r="K56" s="33">
        <f>AVERAGE(Dados!K52:K57)</f>
        <v>115.71666666666665</v>
      </c>
    </row>
    <row r="57" spans="1:11" x14ac:dyDescent="0.25">
      <c r="A57" s="32">
        <v>39173</v>
      </c>
      <c r="B57" s="33">
        <f>AVERAGE(Dados!B53:B58)</f>
        <v>119.96000000000002</v>
      </c>
      <c r="C57" s="33">
        <f>AVERAGE(Dados!C53:C58)</f>
        <v>115.29500000000002</v>
      </c>
      <c r="D57" s="33">
        <f>AVERAGE(Dados!D53:D58)</f>
        <v>115.84166666666665</v>
      </c>
      <c r="E57" s="33">
        <f>AVERAGE(Dados!E53:E58)</f>
        <v>113.96833333333335</v>
      </c>
      <c r="F57" s="33">
        <f>AVERAGE(Dados!F53:F58)</f>
        <v>121.45</v>
      </c>
      <c r="G57" s="33">
        <f>AVERAGE(Dados!G53:G58)</f>
        <v>110.34166666666665</v>
      </c>
      <c r="H57" s="33">
        <f>AVERAGE(Dados!H53:H58)</f>
        <v>117.21</v>
      </c>
      <c r="I57" s="33">
        <f>AVERAGE(Dados!I53:I58)</f>
        <v>112.85166666666669</v>
      </c>
      <c r="J57" s="33">
        <f>AVERAGE(Dados!J53:J58)</f>
        <v>115.46333333333332</v>
      </c>
      <c r="K57" s="33">
        <f>AVERAGE(Dados!K53:K58)</f>
        <v>116.03500000000001</v>
      </c>
    </row>
    <row r="58" spans="1:11" x14ac:dyDescent="0.25">
      <c r="A58" s="32">
        <v>39203</v>
      </c>
      <c r="B58" s="33">
        <f>AVERAGE(Dados!B54:B59)</f>
        <v>120.53000000000002</v>
      </c>
      <c r="C58" s="33">
        <f>AVERAGE(Dados!C54:C59)</f>
        <v>115.98666666666666</v>
      </c>
      <c r="D58" s="33">
        <f>AVERAGE(Dados!D54:D59)</f>
        <v>116.47333333333331</v>
      </c>
      <c r="E58" s="33">
        <f>AVERAGE(Dados!E54:E59)</f>
        <v>114.2</v>
      </c>
      <c r="F58" s="33">
        <f>AVERAGE(Dados!F54:F59)</f>
        <v>122.44333333333333</v>
      </c>
      <c r="G58" s="33">
        <f>AVERAGE(Dados!G54:G59)</f>
        <v>111.35666666666664</v>
      </c>
      <c r="H58" s="33">
        <f>AVERAGE(Dados!H54:H59)</f>
        <v>118.24166666666666</v>
      </c>
      <c r="I58" s="33">
        <f>AVERAGE(Dados!I54:I59)</f>
        <v>113.175</v>
      </c>
      <c r="J58" s="33">
        <f>AVERAGE(Dados!J54:J59)</f>
        <v>116.30333333333333</v>
      </c>
      <c r="K58" s="33">
        <f>AVERAGE(Dados!K54:K59)</f>
        <v>116.57999999999998</v>
      </c>
    </row>
    <row r="59" spans="1:11" x14ac:dyDescent="0.25">
      <c r="A59" s="32">
        <v>39234</v>
      </c>
      <c r="B59" s="33">
        <f>AVERAGE(Dados!B55:B60)</f>
        <v>121.08166666666665</v>
      </c>
      <c r="C59" s="33">
        <f>AVERAGE(Dados!C55:C60)</f>
        <v>116.16499999999998</v>
      </c>
      <c r="D59" s="33">
        <f>AVERAGE(Dados!D55:D60)</f>
        <v>117.16500000000001</v>
      </c>
      <c r="E59" s="33">
        <f>AVERAGE(Dados!E55:E60)</f>
        <v>114.4666666666667</v>
      </c>
      <c r="F59" s="33">
        <f>AVERAGE(Dados!F55:F60)</f>
        <v>123.35166666666665</v>
      </c>
      <c r="G59" s="33">
        <f>AVERAGE(Dados!G55:G60)</f>
        <v>111.76333333333334</v>
      </c>
      <c r="H59" s="33">
        <f>AVERAGE(Dados!H55:H60)</f>
        <v>118.81666666666666</v>
      </c>
      <c r="I59" s="33">
        <f>AVERAGE(Dados!I55:I60)</f>
        <v>113.46</v>
      </c>
      <c r="J59" s="33">
        <f>AVERAGE(Dados!J55:J60)</f>
        <v>116.93</v>
      </c>
      <c r="K59" s="33">
        <f>AVERAGE(Dados!K55:K60)</f>
        <v>117.27</v>
      </c>
    </row>
    <row r="60" spans="1:11" x14ac:dyDescent="0.25">
      <c r="A60" s="32">
        <v>39264</v>
      </c>
      <c r="B60" s="33">
        <f>AVERAGE(Dados!B56:B61)</f>
        <v>121.83833333333335</v>
      </c>
      <c r="C60" s="33">
        <f>AVERAGE(Dados!C56:C61)</f>
        <v>116.46166666666666</v>
      </c>
      <c r="D60" s="33">
        <f>AVERAGE(Dados!D56:D61)</f>
        <v>117.85000000000002</v>
      </c>
      <c r="E60" s="33">
        <f>AVERAGE(Dados!E56:E61)</f>
        <v>114.50666666666666</v>
      </c>
      <c r="F60" s="33">
        <f>AVERAGE(Dados!F56:F61)</f>
        <v>124.32833333333333</v>
      </c>
      <c r="G60" s="33">
        <f>AVERAGE(Dados!G56:G61)</f>
        <v>112.06833333333334</v>
      </c>
      <c r="H60" s="33">
        <f>AVERAGE(Dados!H56:H61)</f>
        <v>119.37</v>
      </c>
      <c r="I60" s="33">
        <f>AVERAGE(Dados!I56:I61)</f>
        <v>113.67500000000001</v>
      </c>
      <c r="J60" s="33">
        <f>AVERAGE(Dados!J56:J61)</f>
        <v>117.48166666666664</v>
      </c>
      <c r="K60" s="33">
        <f>AVERAGE(Dados!K56:K61)</f>
        <v>117.485</v>
      </c>
    </row>
    <row r="61" spans="1:11" x14ac:dyDescent="0.25">
      <c r="A61" s="32">
        <v>39295</v>
      </c>
      <c r="B61" s="33">
        <f>AVERAGE(Dados!B57:B62)</f>
        <v>122.53500000000001</v>
      </c>
      <c r="C61" s="33">
        <f>AVERAGE(Dados!C57:C62)</f>
        <v>117.18166666666667</v>
      </c>
      <c r="D61" s="33">
        <f>AVERAGE(Dados!D57:D62)</f>
        <v>118.36666666666667</v>
      </c>
      <c r="E61" s="33">
        <f>AVERAGE(Dados!E57:E62)</f>
        <v>114.55999999999999</v>
      </c>
      <c r="F61" s="33">
        <f>AVERAGE(Dados!F57:F62)</f>
        <v>125.20499999999998</v>
      </c>
      <c r="G61" s="33">
        <f>AVERAGE(Dados!G57:G62)</f>
        <v>111.71666666666665</v>
      </c>
      <c r="H61" s="33">
        <f>AVERAGE(Dados!H57:H62)</f>
        <v>119.54666666666667</v>
      </c>
      <c r="I61" s="33">
        <f>AVERAGE(Dados!I57:I62)</f>
        <v>113.90333333333335</v>
      </c>
      <c r="J61" s="33">
        <f>AVERAGE(Dados!J57:J62)</f>
        <v>118.20333333333332</v>
      </c>
      <c r="K61" s="33">
        <f>AVERAGE(Dados!K57:K62)</f>
        <v>117.89</v>
      </c>
    </row>
    <row r="62" spans="1:11" x14ac:dyDescent="0.25">
      <c r="A62" s="32">
        <v>39326</v>
      </c>
      <c r="B62" s="33">
        <f>AVERAGE(Dados!B58:B63)</f>
        <v>123.45</v>
      </c>
      <c r="C62" s="33">
        <f>AVERAGE(Dados!C58:C63)</f>
        <v>117.76166666666667</v>
      </c>
      <c r="D62" s="33">
        <f>AVERAGE(Dados!D58:D63)</f>
        <v>118.98333333333335</v>
      </c>
      <c r="E62" s="33">
        <f>AVERAGE(Dados!E58:E63)</f>
        <v>115.02500000000002</v>
      </c>
      <c r="F62" s="33">
        <f>AVERAGE(Dados!F58:F63)</f>
        <v>126.21</v>
      </c>
      <c r="G62" s="33">
        <f>AVERAGE(Dados!G58:G63)</f>
        <v>112.52499999999999</v>
      </c>
      <c r="H62" s="33">
        <f>AVERAGE(Dados!H58:H63)</f>
        <v>120.47833333333334</v>
      </c>
      <c r="I62" s="33">
        <f>AVERAGE(Dados!I58:I63)</f>
        <v>113.92</v>
      </c>
      <c r="J62" s="33">
        <f>AVERAGE(Dados!J58:J63)</f>
        <v>118.71833333333332</v>
      </c>
      <c r="K62" s="33">
        <f>AVERAGE(Dados!K58:K63)</f>
        <v>118.24333333333334</v>
      </c>
    </row>
    <row r="63" spans="1:11" x14ac:dyDescent="0.25">
      <c r="A63" s="32">
        <v>39356</v>
      </c>
      <c r="B63" s="33">
        <f>AVERAGE(Dados!B59:B64)</f>
        <v>124.24833333333333</v>
      </c>
      <c r="C63" s="33">
        <f>AVERAGE(Dados!C59:C64)</f>
        <v>118.51333333333334</v>
      </c>
      <c r="D63" s="33">
        <f>AVERAGE(Dados!D59:D64)</f>
        <v>119.55333333333334</v>
      </c>
      <c r="E63" s="33">
        <f>AVERAGE(Dados!E59:E64)</f>
        <v>116.45166666666667</v>
      </c>
      <c r="F63" s="33">
        <f>AVERAGE(Dados!F59:F64)</f>
        <v>127.32333333333332</v>
      </c>
      <c r="G63" s="33">
        <f>AVERAGE(Dados!G59:G64)</f>
        <v>113.11166666666664</v>
      </c>
      <c r="H63" s="33">
        <f>AVERAGE(Dados!H59:H64)</f>
        <v>121.07666666666667</v>
      </c>
      <c r="I63" s="33">
        <f>AVERAGE(Dados!I59:I64)</f>
        <v>114.09166666666665</v>
      </c>
      <c r="J63" s="33">
        <f>AVERAGE(Dados!J59:J64)</f>
        <v>119.44166666666666</v>
      </c>
      <c r="K63" s="33">
        <f>AVERAGE(Dados!K59:K64)</f>
        <v>119.02833333333332</v>
      </c>
    </row>
    <row r="64" spans="1:11" x14ac:dyDescent="0.25">
      <c r="A64" s="32">
        <v>39387</v>
      </c>
      <c r="B64" s="33">
        <f>AVERAGE(Dados!B60:B65)</f>
        <v>124.89333333333333</v>
      </c>
      <c r="C64" s="33">
        <f>AVERAGE(Dados!C60:C65)</f>
        <v>119.38999999999999</v>
      </c>
      <c r="D64" s="33">
        <f>AVERAGE(Dados!D60:D65)</f>
        <v>120.11499999999999</v>
      </c>
      <c r="E64" s="33">
        <f>AVERAGE(Dados!E60:E65)</f>
        <v>117.01333333333332</v>
      </c>
      <c r="F64" s="33">
        <f>AVERAGE(Dados!F60:F65)</f>
        <v>128.33166666666665</v>
      </c>
      <c r="G64" s="33">
        <f>AVERAGE(Dados!G60:G65)</f>
        <v>113.70833333333331</v>
      </c>
      <c r="H64" s="33">
        <f>AVERAGE(Dados!H60:H65)</f>
        <v>121.69999999999999</v>
      </c>
      <c r="I64" s="33">
        <f>AVERAGE(Dados!I60:I65)</f>
        <v>114.435</v>
      </c>
      <c r="J64" s="33">
        <f>AVERAGE(Dados!J60:J65)</f>
        <v>120.02166666666666</v>
      </c>
      <c r="K64" s="33">
        <f>AVERAGE(Dados!K60:K65)</f>
        <v>119.66833333333334</v>
      </c>
    </row>
    <row r="65" spans="1:11" x14ac:dyDescent="0.25">
      <c r="A65" s="32">
        <v>39417</v>
      </c>
      <c r="B65" s="33">
        <f>AVERAGE(Dados!B61:B66)</f>
        <v>125.49333333333333</v>
      </c>
      <c r="C65" s="33">
        <f>AVERAGE(Dados!C61:C66)</f>
        <v>120.57499999999999</v>
      </c>
      <c r="D65" s="33">
        <f>AVERAGE(Dados!D61:D66)</f>
        <v>121.03833333333331</v>
      </c>
      <c r="E65" s="33">
        <f>AVERAGE(Dados!E61:E66)</f>
        <v>117.72833333333335</v>
      </c>
      <c r="F65" s="33">
        <f>AVERAGE(Dados!F61:F66)</f>
        <v>129.14499999999998</v>
      </c>
      <c r="G65" s="33">
        <f>AVERAGE(Dados!G61:G66)</f>
        <v>114.58833333333332</v>
      </c>
      <c r="H65" s="33">
        <f>AVERAGE(Dados!H61:H66)</f>
        <v>122.23</v>
      </c>
      <c r="I65" s="33">
        <f>AVERAGE(Dados!I61:I66)</f>
        <v>114.795</v>
      </c>
      <c r="J65" s="33">
        <f>AVERAGE(Dados!J61:J66)</f>
        <v>120.67333333333333</v>
      </c>
      <c r="K65" s="33">
        <f>AVERAGE(Dados!K61:K66)</f>
        <v>120.45</v>
      </c>
    </row>
    <row r="66" spans="1:11" x14ac:dyDescent="0.25">
      <c r="A66" s="32">
        <v>39448</v>
      </c>
      <c r="B66" s="33">
        <f>AVERAGE(Dados!B62:B67)</f>
        <v>125.99166666666667</v>
      </c>
      <c r="C66" s="33">
        <f>AVERAGE(Dados!C62:C67)</f>
        <v>121.58833333333332</v>
      </c>
      <c r="D66" s="33">
        <f>AVERAGE(Dados!D62:D67)</f>
        <v>121.84166666666665</v>
      </c>
      <c r="E66" s="33">
        <f>AVERAGE(Dados!E62:E67)</f>
        <v>118.37333333333333</v>
      </c>
      <c r="F66" s="33">
        <f>AVERAGE(Dados!F62:F67)</f>
        <v>130.1</v>
      </c>
      <c r="G66" s="33">
        <f>AVERAGE(Dados!G62:G67)</f>
        <v>115.245</v>
      </c>
      <c r="H66" s="33">
        <f>AVERAGE(Dados!H62:H67)</f>
        <v>122.58499999999998</v>
      </c>
      <c r="I66" s="33">
        <f>AVERAGE(Dados!I62:I67)</f>
        <v>115.29833333333333</v>
      </c>
      <c r="J66" s="33">
        <f>AVERAGE(Dados!J62:J67)</f>
        <v>121.47500000000001</v>
      </c>
      <c r="K66" s="33">
        <f>AVERAGE(Dados!K62:K67)</f>
        <v>121.43333333333335</v>
      </c>
    </row>
    <row r="67" spans="1:11" x14ac:dyDescent="0.25">
      <c r="A67" s="32">
        <v>39479</v>
      </c>
      <c r="B67" s="33">
        <f>AVERAGE(Dados!B63:B68)</f>
        <v>126.36333333333333</v>
      </c>
      <c r="C67" s="33">
        <f>AVERAGE(Dados!C63:C68)</f>
        <v>121.74666666666667</v>
      </c>
      <c r="D67" s="33">
        <f>AVERAGE(Dados!D63:D68)</f>
        <v>122.74833333333333</v>
      </c>
      <c r="E67" s="33">
        <f>AVERAGE(Dados!E63:E68)</f>
        <v>119.17333333333335</v>
      </c>
      <c r="F67" s="33">
        <f>AVERAGE(Dados!F63:F68)</f>
        <v>130.52833333333334</v>
      </c>
      <c r="G67" s="33">
        <f>AVERAGE(Dados!G63:G68)</f>
        <v>116.05000000000001</v>
      </c>
      <c r="H67" s="33">
        <f>AVERAGE(Dados!H63:H68)</f>
        <v>122.8</v>
      </c>
      <c r="I67" s="33">
        <f>AVERAGE(Dados!I63:I68)</f>
        <v>115.31166666666668</v>
      </c>
      <c r="J67" s="33">
        <f>AVERAGE(Dados!J63:J68)</f>
        <v>121.66333333333334</v>
      </c>
      <c r="K67" s="33">
        <f>AVERAGE(Dados!K63:K68)</f>
        <v>122.71833333333332</v>
      </c>
    </row>
    <row r="68" spans="1:11" x14ac:dyDescent="0.25">
      <c r="A68" s="32">
        <v>39508</v>
      </c>
      <c r="B68" s="33">
        <f>AVERAGE(Dados!B64:B69)</f>
        <v>126.62</v>
      </c>
      <c r="C68" s="33">
        <f>AVERAGE(Dados!C64:C69)</f>
        <v>122.40666666666668</v>
      </c>
      <c r="D68" s="33">
        <f>AVERAGE(Dados!D64:D69)</f>
        <v>123.72833333333334</v>
      </c>
      <c r="E68" s="33">
        <f>AVERAGE(Dados!E64:E69)</f>
        <v>119.94166666666666</v>
      </c>
      <c r="F68" s="33">
        <f>AVERAGE(Dados!F64:F69)</f>
        <v>131.39833333333331</v>
      </c>
      <c r="G68" s="33">
        <f>AVERAGE(Dados!G64:G69)</f>
        <v>116.88833333333332</v>
      </c>
      <c r="H68" s="33">
        <f>AVERAGE(Dados!H64:H69)</f>
        <v>123.13833333333334</v>
      </c>
      <c r="I68" s="33">
        <f>AVERAGE(Dados!I64:I69)</f>
        <v>115.84166666666665</v>
      </c>
      <c r="J68" s="33">
        <f>AVERAGE(Dados!J64:J69)</f>
        <v>122.42</v>
      </c>
      <c r="K68" s="33">
        <f>AVERAGE(Dados!K64:K69)</f>
        <v>123.565</v>
      </c>
    </row>
    <row r="69" spans="1:11" x14ac:dyDescent="0.25">
      <c r="A69" s="32">
        <v>39539</v>
      </c>
      <c r="B69" s="33">
        <f>AVERAGE(Dados!B65:B70)</f>
        <v>126.89833333333333</v>
      </c>
      <c r="C69" s="33">
        <f>AVERAGE(Dados!C65:C70)</f>
        <v>122.96666666666665</v>
      </c>
      <c r="D69" s="33">
        <f>AVERAGE(Dados!D65:D70)</f>
        <v>124.12833333333333</v>
      </c>
      <c r="E69" s="33">
        <f>AVERAGE(Dados!E65:E70)</f>
        <v>119.56666666666666</v>
      </c>
      <c r="F69" s="33">
        <f>AVERAGE(Dados!F65:F70)</f>
        <v>132.00833333333335</v>
      </c>
      <c r="G69" s="33">
        <f>AVERAGE(Dados!G65:G70)</f>
        <v>115.5</v>
      </c>
      <c r="H69" s="33">
        <f>AVERAGE(Dados!H65:H70)</f>
        <v>123.45666666666666</v>
      </c>
      <c r="I69" s="33">
        <f>AVERAGE(Dados!I65:I70)</f>
        <v>116.14999999999999</v>
      </c>
      <c r="J69" s="33">
        <f>AVERAGE(Dados!J65:J70)</f>
        <v>122.94833333333334</v>
      </c>
      <c r="K69" s="33">
        <f>AVERAGE(Dados!K65:K70)</f>
        <v>124.08166666666666</v>
      </c>
    </row>
    <row r="70" spans="1:11" x14ac:dyDescent="0.25">
      <c r="A70" s="32">
        <v>39569</v>
      </c>
      <c r="B70" s="33">
        <f>AVERAGE(Dados!B66:B71)</f>
        <v>127.46666666666665</v>
      </c>
      <c r="C70" s="33">
        <f>AVERAGE(Dados!C66:C71)</f>
        <v>123.35666666666667</v>
      </c>
      <c r="D70" s="33">
        <f>AVERAGE(Dados!D66:D71)</f>
        <v>124.56666666666666</v>
      </c>
      <c r="E70" s="33">
        <f>AVERAGE(Dados!E66:E71)</f>
        <v>120.40500000000002</v>
      </c>
      <c r="F70" s="33">
        <f>AVERAGE(Dados!F66:F71)</f>
        <v>132.65833333333333</v>
      </c>
      <c r="G70" s="33">
        <f>AVERAGE(Dados!G66:G71)</f>
        <v>115.41166666666668</v>
      </c>
      <c r="H70" s="33">
        <f>AVERAGE(Dados!H66:H71)</f>
        <v>123.56</v>
      </c>
      <c r="I70" s="33">
        <f>AVERAGE(Dados!I66:I71)</f>
        <v>116.58166666666666</v>
      </c>
      <c r="J70" s="33">
        <f>AVERAGE(Dados!J66:J71)</f>
        <v>123.55166666666666</v>
      </c>
      <c r="K70" s="33">
        <f>AVERAGE(Dados!K66:K71)</f>
        <v>124.58</v>
      </c>
    </row>
    <row r="71" spans="1:11" x14ac:dyDescent="0.25">
      <c r="A71" s="32">
        <v>39600</v>
      </c>
      <c r="B71" s="33">
        <f>AVERAGE(Dados!B67:B72)</f>
        <v>128.13500000000002</v>
      </c>
      <c r="C71" s="33">
        <f>AVERAGE(Dados!C67:C72)</f>
        <v>124.06666666666666</v>
      </c>
      <c r="D71" s="33">
        <f>AVERAGE(Dados!D67:D72)</f>
        <v>124.70666666666666</v>
      </c>
      <c r="E71" s="33">
        <f>AVERAGE(Dados!E67:E72)</f>
        <v>121.60166666666667</v>
      </c>
      <c r="F71" s="33">
        <f>AVERAGE(Dados!F67:F72)</f>
        <v>133.75</v>
      </c>
      <c r="G71" s="33">
        <f>AVERAGE(Dados!G67:G72)</f>
        <v>116.13333333333333</v>
      </c>
      <c r="H71" s="33">
        <f>AVERAGE(Dados!H67:H72)</f>
        <v>124.30166666666668</v>
      </c>
      <c r="I71" s="33">
        <f>AVERAGE(Dados!I67:I72)</f>
        <v>117.13</v>
      </c>
      <c r="J71" s="33">
        <f>AVERAGE(Dados!J67:J72)</f>
        <v>124.38833333333334</v>
      </c>
      <c r="K71" s="33">
        <f>AVERAGE(Dados!K67:K72)</f>
        <v>125.09333333333332</v>
      </c>
    </row>
    <row r="72" spans="1:11" x14ac:dyDescent="0.25">
      <c r="A72" s="32">
        <v>39630</v>
      </c>
      <c r="B72" s="33">
        <f>AVERAGE(Dados!B68:B73)</f>
        <v>128.73666666666668</v>
      </c>
      <c r="C72" s="33">
        <f>AVERAGE(Dados!C68:C73)</f>
        <v>124.74833333333333</v>
      </c>
      <c r="D72" s="33">
        <f>AVERAGE(Dados!D68:D73)</f>
        <v>124.96500000000002</v>
      </c>
      <c r="E72" s="33">
        <f>AVERAGE(Dados!E68:E73)</f>
        <v>122.87833333333333</v>
      </c>
      <c r="F72" s="33">
        <f>AVERAGE(Dados!F68:F73)</f>
        <v>134.53</v>
      </c>
      <c r="G72" s="33">
        <f>AVERAGE(Dados!G68:G73)</f>
        <v>116.27999999999999</v>
      </c>
      <c r="H72" s="33">
        <f>AVERAGE(Dados!H68:H73)</f>
        <v>125.07333333333334</v>
      </c>
      <c r="I72" s="33">
        <f>AVERAGE(Dados!I68:I73)</f>
        <v>117.54</v>
      </c>
      <c r="J72" s="33">
        <f>AVERAGE(Dados!J68:J73)</f>
        <v>125.08499999999999</v>
      </c>
      <c r="K72" s="33">
        <f>AVERAGE(Dados!K68:K73)</f>
        <v>125.43999999999998</v>
      </c>
    </row>
    <row r="73" spans="1:11" x14ac:dyDescent="0.25">
      <c r="A73" s="32">
        <v>39661</v>
      </c>
      <c r="B73" s="33">
        <f>AVERAGE(Dados!B69:B74)</f>
        <v>129.48833333333334</v>
      </c>
      <c r="C73" s="33">
        <f>AVERAGE(Dados!C69:C74)</f>
        <v>125.68666666666665</v>
      </c>
      <c r="D73" s="33">
        <f>AVERAGE(Dados!D69:D74)</f>
        <v>125.31333333333333</v>
      </c>
      <c r="E73" s="33">
        <f>AVERAGE(Dados!E69:E74)</f>
        <v>124.24333333333333</v>
      </c>
      <c r="F73" s="33">
        <f>AVERAGE(Dados!F69:F74)</f>
        <v>135.41666666666666</v>
      </c>
      <c r="G73" s="33">
        <f>AVERAGE(Dados!G69:G74)</f>
        <v>116.31166666666665</v>
      </c>
      <c r="H73" s="33">
        <f>AVERAGE(Dados!H69:H74)</f>
        <v>125.94333333333333</v>
      </c>
      <c r="I73" s="33">
        <f>AVERAGE(Dados!I69:I74)</f>
        <v>118.35499999999998</v>
      </c>
      <c r="J73" s="33">
        <f>AVERAGE(Dados!J69:J74)</f>
        <v>126.185</v>
      </c>
      <c r="K73" s="33">
        <f>AVERAGE(Dados!K69:K74)</f>
        <v>125.39166666666667</v>
      </c>
    </row>
    <row r="74" spans="1:11" x14ac:dyDescent="0.25">
      <c r="A74" s="32">
        <v>39692</v>
      </c>
      <c r="B74" s="33">
        <f>AVERAGE(Dados!B70:B75)</f>
        <v>130.14166666666665</v>
      </c>
      <c r="C74" s="33">
        <f>AVERAGE(Dados!C70:C75)</f>
        <v>126.21</v>
      </c>
      <c r="D74" s="33">
        <f>AVERAGE(Dados!D70:D75)</f>
        <v>125.71</v>
      </c>
      <c r="E74" s="33">
        <f>AVERAGE(Dados!E70:E75)</f>
        <v>125.08999999999999</v>
      </c>
      <c r="F74" s="33">
        <f>AVERAGE(Dados!F70:F75)</f>
        <v>136.005</v>
      </c>
      <c r="G74" s="33">
        <f>AVERAGE(Dados!G70:G75)</f>
        <v>116.82666666666667</v>
      </c>
      <c r="H74" s="33">
        <f>AVERAGE(Dados!H70:H75)</f>
        <v>126.815</v>
      </c>
      <c r="I74" s="33">
        <f>AVERAGE(Dados!I70:I75)</f>
        <v>118.88166666666667</v>
      </c>
      <c r="J74" s="33">
        <f>AVERAGE(Dados!J70:J75)</f>
        <v>127.22500000000001</v>
      </c>
      <c r="K74" s="33">
        <f>AVERAGE(Dados!K70:K75)</f>
        <v>125.78333333333335</v>
      </c>
    </row>
    <row r="75" spans="1:11" x14ac:dyDescent="0.25">
      <c r="A75" s="32">
        <v>39722</v>
      </c>
      <c r="B75" s="33">
        <f>AVERAGE(Dados!B71:B76)</f>
        <v>130.19833333333332</v>
      </c>
      <c r="C75" s="33">
        <f>AVERAGE(Dados!C71:C76)</f>
        <v>126.42333333333333</v>
      </c>
      <c r="D75" s="33">
        <f>AVERAGE(Dados!D71:D76)</f>
        <v>126.13333333333333</v>
      </c>
      <c r="E75" s="33">
        <f>AVERAGE(Dados!E71:E76)</f>
        <v>126.55833333333334</v>
      </c>
      <c r="F75" s="33">
        <f>AVERAGE(Dados!F71:F76)</f>
        <v>136.15666666666667</v>
      </c>
      <c r="G75" s="33">
        <f>AVERAGE(Dados!G71:G76)</f>
        <v>118.92166666666667</v>
      </c>
      <c r="H75" s="33">
        <f>AVERAGE(Dados!H71:H76)</f>
        <v>126.89333333333336</v>
      </c>
      <c r="I75" s="33">
        <f>AVERAGE(Dados!I71:I76)</f>
        <v>119.38166666666666</v>
      </c>
      <c r="J75" s="33">
        <f>AVERAGE(Dados!J71:J76)</f>
        <v>127.74333333333333</v>
      </c>
      <c r="K75" s="33">
        <f>AVERAGE(Dados!K71:K76)</f>
        <v>125.70833333333333</v>
      </c>
    </row>
    <row r="76" spans="1:11" x14ac:dyDescent="0.25">
      <c r="A76" s="32">
        <v>39753</v>
      </c>
      <c r="B76" s="33">
        <f>AVERAGE(Dados!B72:B77)</f>
        <v>129.42833333333331</v>
      </c>
      <c r="C76" s="33">
        <f>AVERAGE(Dados!C72:C77)</f>
        <v>125.81333333333333</v>
      </c>
      <c r="D76" s="33">
        <f>AVERAGE(Dados!D72:D77)</f>
        <v>126.34166666666665</v>
      </c>
      <c r="E76" s="33">
        <f>AVERAGE(Dados!E72:E77)</f>
        <v>126.2</v>
      </c>
      <c r="F76" s="33">
        <f>AVERAGE(Dados!F72:F77)</f>
        <v>135.98666666666665</v>
      </c>
      <c r="G76" s="33">
        <f>AVERAGE(Dados!G72:G77)</f>
        <v>118.90666666666668</v>
      </c>
      <c r="H76" s="33">
        <f>AVERAGE(Dados!H72:H77)</f>
        <v>126.73666666666668</v>
      </c>
      <c r="I76" s="33">
        <f>AVERAGE(Dados!I72:I77)</f>
        <v>119.52500000000002</v>
      </c>
      <c r="J76" s="33">
        <f>AVERAGE(Dados!J72:J77)</f>
        <v>128.01999999999998</v>
      </c>
      <c r="K76" s="33">
        <f>AVERAGE(Dados!K72:K77)</f>
        <v>125.59333333333332</v>
      </c>
    </row>
    <row r="77" spans="1:11" x14ac:dyDescent="0.25">
      <c r="A77" s="32">
        <v>39783</v>
      </c>
      <c r="B77" s="33">
        <f>AVERAGE(Dados!B73:B78)</f>
        <v>127.76333333333332</v>
      </c>
      <c r="C77" s="33">
        <f>AVERAGE(Dados!C73:C78)</f>
        <v>124.26499999999999</v>
      </c>
      <c r="D77" s="33">
        <f>AVERAGE(Dados!D73:D78)</f>
        <v>126.28333333333332</v>
      </c>
      <c r="E77" s="33">
        <f>AVERAGE(Dados!E73:E78)</f>
        <v>125.25166666666667</v>
      </c>
      <c r="F77" s="33">
        <f>AVERAGE(Dados!F73:F78)</f>
        <v>134.41499999999999</v>
      </c>
      <c r="G77" s="33">
        <f>AVERAGE(Dados!G73:G78)</f>
        <v>117.37833333333333</v>
      </c>
      <c r="H77" s="33">
        <f>AVERAGE(Dados!H73:H78)</f>
        <v>125.45833333333333</v>
      </c>
      <c r="I77" s="33">
        <f>AVERAGE(Dados!I73:I78)</f>
        <v>119.18166666666667</v>
      </c>
      <c r="J77" s="33">
        <f>AVERAGE(Dados!J73:J78)</f>
        <v>126.83166666666666</v>
      </c>
      <c r="K77" s="33">
        <f>AVERAGE(Dados!K73:K78)</f>
        <v>125.15833333333332</v>
      </c>
    </row>
    <row r="78" spans="1:11" x14ac:dyDescent="0.25">
      <c r="A78" s="32">
        <v>39814</v>
      </c>
      <c r="B78" s="33">
        <f>AVERAGE(Dados!B74:B79)</f>
        <v>126.105</v>
      </c>
      <c r="C78" s="33">
        <f>AVERAGE(Dados!C74:C79)</f>
        <v>122.505</v>
      </c>
      <c r="D78" s="33">
        <f>AVERAGE(Dados!D74:D79)</f>
        <v>126.52499999999999</v>
      </c>
      <c r="E78" s="33">
        <f>AVERAGE(Dados!E74:E79)</f>
        <v>124.35333333333334</v>
      </c>
      <c r="F78" s="33">
        <f>AVERAGE(Dados!F74:F79)</f>
        <v>133.28666666666666</v>
      </c>
      <c r="G78" s="33">
        <f>AVERAGE(Dados!G74:G79)</f>
        <v>116.63</v>
      </c>
      <c r="H78" s="33">
        <f>AVERAGE(Dados!H74:H79)</f>
        <v>124.76999999999998</v>
      </c>
      <c r="I78" s="33">
        <f>AVERAGE(Dados!I74:I79)</f>
        <v>119.14833333333333</v>
      </c>
      <c r="J78" s="33">
        <f>AVERAGE(Dados!J74:J79)</f>
        <v>125.73499999999997</v>
      </c>
      <c r="K78" s="33">
        <f>AVERAGE(Dados!K74:K79)</f>
        <v>124.21333333333332</v>
      </c>
    </row>
    <row r="79" spans="1:11" x14ac:dyDescent="0.25">
      <c r="A79" s="32">
        <v>39845</v>
      </c>
      <c r="B79" s="33">
        <f>AVERAGE(Dados!B75:B80)</f>
        <v>124.62499999999999</v>
      </c>
      <c r="C79" s="33">
        <f>AVERAGE(Dados!C75:C80)</f>
        <v>121.33333333333333</v>
      </c>
      <c r="D79" s="33">
        <f>AVERAGE(Dados!D75:D80)</f>
        <v>126.38833333333332</v>
      </c>
      <c r="E79" s="33">
        <f>AVERAGE(Dados!E75:E80)</f>
        <v>123.35666666666664</v>
      </c>
      <c r="F79" s="33">
        <f>AVERAGE(Dados!F75:F80)</f>
        <v>132.51166666666666</v>
      </c>
      <c r="G79" s="33">
        <f>AVERAGE(Dados!G75:G80)</f>
        <v>116.27499999999999</v>
      </c>
      <c r="H79" s="33">
        <f>AVERAGE(Dados!H75:H80)</f>
        <v>124.11</v>
      </c>
      <c r="I79" s="33">
        <f>AVERAGE(Dados!I75:I80)</f>
        <v>119.20333333333332</v>
      </c>
      <c r="J79" s="33">
        <f>AVERAGE(Dados!J75:J80)</f>
        <v>124.75333333333333</v>
      </c>
      <c r="K79" s="33">
        <f>AVERAGE(Dados!K75:K80)</f>
        <v>123.81166666666667</v>
      </c>
    </row>
    <row r="80" spans="1:11" x14ac:dyDescent="0.25">
      <c r="A80" s="32">
        <v>39873</v>
      </c>
      <c r="B80" s="33">
        <f>AVERAGE(Dados!B76:B81)</f>
        <v>123.395</v>
      </c>
      <c r="C80" s="33">
        <f>AVERAGE(Dados!C76:C81)</f>
        <v>120.30166666666666</v>
      </c>
      <c r="D80" s="33">
        <f>AVERAGE(Dados!D76:D81)</f>
        <v>126.17500000000001</v>
      </c>
      <c r="E80" s="33">
        <f>AVERAGE(Dados!E76:E81)</f>
        <v>122.57833333333333</v>
      </c>
      <c r="F80" s="33">
        <f>AVERAGE(Dados!F76:F81)</f>
        <v>131.46833333333333</v>
      </c>
      <c r="G80" s="33">
        <f>AVERAGE(Dados!G76:G81)</f>
        <v>115.26166666666666</v>
      </c>
      <c r="H80" s="33">
        <f>AVERAGE(Dados!H76:H81)</f>
        <v>123.04000000000002</v>
      </c>
      <c r="I80" s="33">
        <f>AVERAGE(Dados!I76:I81)</f>
        <v>119.35166666666667</v>
      </c>
      <c r="J80" s="33">
        <f>AVERAGE(Dados!J76:J81)</f>
        <v>123.30166666666666</v>
      </c>
      <c r="K80" s="33">
        <f>AVERAGE(Dados!K76:K81)</f>
        <v>123.26833333333333</v>
      </c>
    </row>
    <row r="81" spans="1:11" x14ac:dyDescent="0.25">
      <c r="A81" s="32">
        <v>39904</v>
      </c>
      <c r="B81" s="33">
        <f>AVERAGE(Dados!B77:B82)</f>
        <v>122.64666666666666</v>
      </c>
      <c r="C81" s="33">
        <f>AVERAGE(Dados!C77:C82)</f>
        <v>119.41333333333334</v>
      </c>
      <c r="D81" s="33">
        <f>AVERAGE(Dados!D77:D82)</f>
        <v>126.37333333333333</v>
      </c>
      <c r="E81" s="33">
        <f>AVERAGE(Dados!E77:E82)</f>
        <v>121.42666666666666</v>
      </c>
      <c r="F81" s="33">
        <f>AVERAGE(Dados!F77:F82)</f>
        <v>130.95666666666665</v>
      </c>
      <c r="G81" s="33">
        <f>AVERAGE(Dados!G77:G82)</f>
        <v>115.19666666666666</v>
      </c>
      <c r="H81" s="33">
        <f>AVERAGE(Dados!H77:H82)</f>
        <v>122.735</v>
      </c>
      <c r="I81" s="33">
        <f>AVERAGE(Dados!I77:I82)</f>
        <v>119.52833333333335</v>
      </c>
      <c r="J81" s="33">
        <f>AVERAGE(Dados!J77:J82)</f>
        <v>122.29166666666667</v>
      </c>
      <c r="K81" s="33">
        <f>AVERAGE(Dados!K77:K82)</f>
        <v>122.76833333333333</v>
      </c>
    </row>
    <row r="82" spans="1:11" x14ac:dyDescent="0.25">
      <c r="A82" s="32">
        <v>39934</v>
      </c>
      <c r="B82" s="33">
        <f>AVERAGE(Dados!B78:B83)</f>
        <v>122.63666666666667</v>
      </c>
      <c r="C82" s="33">
        <f>AVERAGE(Dados!C78:C83)</f>
        <v>119.21999999999998</v>
      </c>
      <c r="D82" s="33">
        <f>AVERAGE(Dados!D78:D83)</f>
        <v>126.66000000000001</v>
      </c>
      <c r="E82" s="33">
        <f>AVERAGE(Dados!E78:E83)</f>
        <v>121.65333333333331</v>
      </c>
      <c r="F82" s="33">
        <f>AVERAGE(Dados!F78:F83)</f>
        <v>130.97833333333332</v>
      </c>
      <c r="G82" s="33">
        <f>AVERAGE(Dados!G78:G83)</f>
        <v>115.34333333333332</v>
      </c>
      <c r="H82" s="33">
        <f>AVERAGE(Dados!H78:H83)</f>
        <v>123.06</v>
      </c>
      <c r="I82" s="33">
        <f>AVERAGE(Dados!I78:I83)</f>
        <v>120.03833333333334</v>
      </c>
      <c r="J82" s="33">
        <f>AVERAGE(Dados!J78:J83)</f>
        <v>121.60333333333334</v>
      </c>
      <c r="K82" s="33">
        <f>AVERAGE(Dados!K78:K83)</f>
        <v>122.355</v>
      </c>
    </row>
    <row r="83" spans="1:11" x14ac:dyDescent="0.25">
      <c r="A83" s="32">
        <v>39965</v>
      </c>
      <c r="B83" s="33">
        <f>AVERAGE(Dados!B79:B84)</f>
        <v>123.43333333333332</v>
      </c>
      <c r="C83" s="33">
        <f>AVERAGE(Dados!C79:C84)</f>
        <v>119.79166666666667</v>
      </c>
      <c r="D83" s="33">
        <f>AVERAGE(Dados!D79:D84)</f>
        <v>127.28666666666665</v>
      </c>
      <c r="E83" s="33">
        <f>AVERAGE(Dados!E79:E84)</f>
        <v>122.28000000000002</v>
      </c>
      <c r="F83" s="33">
        <f>AVERAGE(Dados!F79:F84)</f>
        <v>131.97166666666666</v>
      </c>
      <c r="G83" s="33">
        <f>AVERAGE(Dados!G79:G84)</f>
        <v>116.32166666666667</v>
      </c>
      <c r="H83" s="33">
        <f>AVERAGE(Dados!H79:H84)</f>
        <v>124.13999999999999</v>
      </c>
      <c r="I83" s="33">
        <f>AVERAGE(Dados!I79:I84)</f>
        <v>120.82333333333334</v>
      </c>
      <c r="J83" s="33">
        <f>AVERAGE(Dados!J79:J84)</f>
        <v>121.64666666666669</v>
      </c>
      <c r="K83" s="33">
        <f>AVERAGE(Dados!K79:K84)</f>
        <v>122.63666666666667</v>
      </c>
    </row>
    <row r="84" spans="1:11" x14ac:dyDescent="0.25">
      <c r="A84" s="32">
        <v>39995</v>
      </c>
      <c r="B84" s="33">
        <f>AVERAGE(Dados!B80:B85)</f>
        <v>124.33999999999999</v>
      </c>
      <c r="C84" s="33">
        <f>AVERAGE(Dados!C80:C85)</f>
        <v>120.55500000000001</v>
      </c>
      <c r="D84" s="33">
        <f>AVERAGE(Dados!D80:D85)</f>
        <v>127.65166666666666</v>
      </c>
      <c r="E84" s="33">
        <f>AVERAGE(Dados!E80:E85)</f>
        <v>123.11333333333333</v>
      </c>
      <c r="F84" s="33">
        <f>AVERAGE(Dados!F80:F85)</f>
        <v>132.49</v>
      </c>
      <c r="G84" s="33">
        <f>AVERAGE(Dados!G80:G85)</f>
        <v>117.005</v>
      </c>
      <c r="H84" s="33">
        <f>AVERAGE(Dados!H80:H85)</f>
        <v>124.71500000000002</v>
      </c>
      <c r="I84" s="33">
        <f>AVERAGE(Dados!I80:I85)</f>
        <v>121.41166666666668</v>
      </c>
      <c r="J84" s="33">
        <f>AVERAGE(Dados!J80:J85)</f>
        <v>121.79000000000002</v>
      </c>
      <c r="K84" s="33">
        <f>AVERAGE(Dados!K80:K85)</f>
        <v>123.11166666666666</v>
      </c>
    </row>
    <row r="85" spans="1:11" x14ac:dyDescent="0.25">
      <c r="A85" s="32">
        <v>40026</v>
      </c>
      <c r="B85" s="33">
        <f>AVERAGE(Dados!B81:B86)</f>
        <v>125.30666666666667</v>
      </c>
      <c r="C85" s="33">
        <f>AVERAGE(Dados!C81:C86)</f>
        <v>121.14833333333333</v>
      </c>
      <c r="D85" s="33">
        <f>AVERAGE(Dados!D81:D86)</f>
        <v>128.66499999999999</v>
      </c>
      <c r="E85" s="33">
        <f>AVERAGE(Dados!E81:E86)</f>
        <v>123.84666666666668</v>
      </c>
      <c r="F85" s="33">
        <f>AVERAGE(Dados!F81:F86)</f>
        <v>132.92500000000001</v>
      </c>
      <c r="G85" s="33">
        <f>AVERAGE(Dados!G81:G86)</f>
        <v>117.35666666666667</v>
      </c>
      <c r="H85" s="33">
        <f>AVERAGE(Dados!H81:H86)</f>
        <v>125.15166666666666</v>
      </c>
      <c r="I85" s="33">
        <f>AVERAGE(Dados!I81:I86)</f>
        <v>121.82</v>
      </c>
      <c r="J85" s="33">
        <f>AVERAGE(Dados!J81:J86)</f>
        <v>122.10666666666667</v>
      </c>
      <c r="K85" s="33">
        <f>AVERAGE(Dados!K81:K86)</f>
        <v>123.67166666666667</v>
      </c>
    </row>
    <row r="86" spans="1:11" x14ac:dyDescent="0.25">
      <c r="A86" s="32">
        <v>40057</v>
      </c>
      <c r="B86" s="33">
        <f>AVERAGE(Dados!B82:B87)</f>
        <v>126.27833333333335</v>
      </c>
      <c r="C86" s="33">
        <f>AVERAGE(Dados!C82:C87)</f>
        <v>121.995</v>
      </c>
      <c r="D86" s="33">
        <f>AVERAGE(Dados!D82:D87)</f>
        <v>129.74666666666667</v>
      </c>
      <c r="E86" s="33">
        <f>AVERAGE(Dados!E82:E87)</f>
        <v>124.82333333333334</v>
      </c>
      <c r="F86" s="33">
        <f>AVERAGE(Dados!F82:F87)</f>
        <v>133.84333333333333</v>
      </c>
      <c r="G86" s="33">
        <f>AVERAGE(Dados!G82:G87)</f>
        <v>118.005</v>
      </c>
      <c r="H86" s="33">
        <f>AVERAGE(Dados!H82:H87)</f>
        <v>126.22833333333335</v>
      </c>
      <c r="I86" s="33">
        <f>AVERAGE(Dados!I82:I87)</f>
        <v>122.37666666666667</v>
      </c>
      <c r="J86" s="33">
        <f>AVERAGE(Dados!J82:J87)</f>
        <v>122.39999999999999</v>
      </c>
      <c r="K86" s="33">
        <f>AVERAGE(Dados!K82:K87)</f>
        <v>124.485</v>
      </c>
    </row>
    <row r="87" spans="1:11" x14ac:dyDescent="0.25">
      <c r="A87" s="32">
        <v>40087</v>
      </c>
      <c r="B87" s="33">
        <f>AVERAGE(Dados!B83:B88)</f>
        <v>127.30499999999999</v>
      </c>
      <c r="C87" s="33">
        <f>AVERAGE(Dados!C83:C88)</f>
        <v>122.97499999999998</v>
      </c>
      <c r="D87" s="33">
        <f>AVERAGE(Dados!D83:D88)</f>
        <v>130.47999999999999</v>
      </c>
      <c r="E87" s="33">
        <f>AVERAGE(Dados!E83:E88)</f>
        <v>125.69</v>
      </c>
      <c r="F87" s="33">
        <f>AVERAGE(Dados!F83:F88)</f>
        <v>134.70666666666668</v>
      </c>
      <c r="G87" s="33">
        <f>AVERAGE(Dados!G83:G88)</f>
        <v>118.39833333333333</v>
      </c>
      <c r="H87" s="33">
        <f>AVERAGE(Dados!H83:H88)</f>
        <v>127.27499999999999</v>
      </c>
      <c r="I87" s="33">
        <f>AVERAGE(Dados!I83:I88)</f>
        <v>122.85500000000002</v>
      </c>
      <c r="J87" s="33">
        <f>AVERAGE(Dados!J83:J88)</f>
        <v>123.15666666666665</v>
      </c>
      <c r="K87" s="33">
        <f>AVERAGE(Dados!K83:K88)</f>
        <v>125.56</v>
      </c>
    </row>
    <row r="88" spans="1:11" x14ac:dyDescent="0.25">
      <c r="A88" s="32">
        <v>40118</v>
      </c>
      <c r="B88" s="33">
        <f>AVERAGE(Dados!B84:B89)</f>
        <v>128.16166666666666</v>
      </c>
      <c r="C88" s="33">
        <f>AVERAGE(Dados!C84:C89)</f>
        <v>124.15333333333332</v>
      </c>
      <c r="D88" s="33">
        <f>AVERAGE(Dados!D84:D89)</f>
        <v>131.58166666666668</v>
      </c>
      <c r="E88" s="33">
        <f>AVERAGE(Dados!E84:E89)</f>
        <v>126.67166666666667</v>
      </c>
      <c r="F88" s="33">
        <f>AVERAGE(Dados!F84:F89)</f>
        <v>135.6866666666667</v>
      </c>
      <c r="G88" s="33">
        <f>AVERAGE(Dados!G84:G89)</f>
        <v>119.08333333333333</v>
      </c>
      <c r="H88" s="33">
        <f>AVERAGE(Dados!H84:H89)</f>
        <v>128.25333333333333</v>
      </c>
      <c r="I88" s="33">
        <f>AVERAGE(Dados!I84:I89)</f>
        <v>123.1366666666667</v>
      </c>
      <c r="J88" s="33">
        <f>AVERAGE(Dados!J84:J89)</f>
        <v>124.2</v>
      </c>
      <c r="K88" s="33">
        <f>AVERAGE(Dados!K84:K89)</f>
        <v>126.90833333333332</v>
      </c>
    </row>
    <row r="89" spans="1:11" x14ac:dyDescent="0.25">
      <c r="A89" s="32">
        <v>40148</v>
      </c>
      <c r="B89" s="33">
        <f>AVERAGE(Dados!B85:B90)</f>
        <v>129.06833333333336</v>
      </c>
      <c r="C89" s="33">
        <f>AVERAGE(Dados!C85:C90)</f>
        <v>125.21833333333335</v>
      </c>
      <c r="D89" s="33">
        <f>AVERAGE(Dados!D85:D90)</f>
        <v>132.57500000000002</v>
      </c>
      <c r="E89" s="33">
        <f>AVERAGE(Dados!E85:E90)</f>
        <v>127.52833333333332</v>
      </c>
      <c r="F89" s="33">
        <f>AVERAGE(Dados!F85:F90)</f>
        <v>136.81833333333336</v>
      </c>
      <c r="G89" s="33">
        <f>AVERAGE(Dados!G85:G90)</f>
        <v>120.08833333333332</v>
      </c>
      <c r="H89" s="33">
        <f>AVERAGE(Dados!H85:H90)</f>
        <v>129.14000000000001</v>
      </c>
      <c r="I89" s="33">
        <f>AVERAGE(Dados!I85:I90)</f>
        <v>123.55333333333333</v>
      </c>
      <c r="J89" s="33">
        <f>AVERAGE(Dados!J85:J90)</f>
        <v>125.95333333333333</v>
      </c>
      <c r="K89" s="33">
        <f>AVERAGE(Dados!K85:K90)</f>
        <v>128.21166666666667</v>
      </c>
    </row>
    <row r="90" spans="1:11" x14ac:dyDescent="0.25">
      <c r="A90" s="32">
        <v>40179</v>
      </c>
      <c r="B90" s="33">
        <f>AVERAGE(Dados!B86:B91)</f>
        <v>130.26833333333335</v>
      </c>
      <c r="C90" s="33">
        <f>AVERAGE(Dados!C86:C91)</f>
        <v>126.48833333333334</v>
      </c>
      <c r="D90" s="33">
        <f>AVERAGE(Dados!D86:D91)</f>
        <v>133.50333333333333</v>
      </c>
      <c r="E90" s="33">
        <f>AVERAGE(Dados!E86:E91)</f>
        <v>128.58000000000001</v>
      </c>
      <c r="F90" s="33">
        <f>AVERAGE(Dados!F86:F91)</f>
        <v>138.21833333333331</v>
      </c>
      <c r="G90" s="33">
        <f>AVERAGE(Dados!G86:G91)</f>
        <v>120.99833333333333</v>
      </c>
      <c r="H90" s="33">
        <f>AVERAGE(Dados!H86:H91)</f>
        <v>130.45833333333334</v>
      </c>
      <c r="I90" s="33">
        <f>AVERAGE(Dados!I86:I91)</f>
        <v>124.14166666666667</v>
      </c>
      <c r="J90" s="33">
        <f>AVERAGE(Dados!J86:J91)</f>
        <v>127.68833333333333</v>
      </c>
      <c r="K90" s="33">
        <f>AVERAGE(Dados!K86:K91)</f>
        <v>129.50833333333333</v>
      </c>
    </row>
    <row r="91" spans="1:11" x14ac:dyDescent="0.25">
      <c r="A91" s="32">
        <v>40210</v>
      </c>
      <c r="B91" s="33">
        <f>AVERAGE(Dados!B87:B92)</f>
        <v>131.47999999999999</v>
      </c>
      <c r="C91" s="33">
        <f>AVERAGE(Dados!C87:C92)</f>
        <v>127.90500000000002</v>
      </c>
      <c r="D91" s="33">
        <f>AVERAGE(Dados!D87:D92)</f>
        <v>134.47166666666669</v>
      </c>
      <c r="E91" s="33">
        <f>AVERAGE(Dados!E87:E92)</f>
        <v>129.46333333333334</v>
      </c>
      <c r="F91" s="33">
        <f>AVERAGE(Dados!F87:F92)</f>
        <v>139.71333333333334</v>
      </c>
      <c r="G91" s="33">
        <f>AVERAGE(Dados!G87:G92)</f>
        <v>121.84333333333335</v>
      </c>
      <c r="H91" s="33">
        <f>AVERAGE(Dados!H87:H92)</f>
        <v>131.75166666666667</v>
      </c>
      <c r="I91" s="33">
        <f>AVERAGE(Dados!I87:I92)</f>
        <v>125.15500000000002</v>
      </c>
      <c r="J91" s="33">
        <f>AVERAGE(Dados!J87:J92)</f>
        <v>129.50833333333335</v>
      </c>
      <c r="K91" s="33">
        <f>AVERAGE(Dados!K87:K92)</f>
        <v>130.27166666666665</v>
      </c>
    </row>
    <row r="92" spans="1:11" x14ac:dyDescent="0.25">
      <c r="A92" s="32">
        <v>40238</v>
      </c>
      <c r="B92" s="33">
        <f>AVERAGE(Dados!B88:B93)</f>
        <v>132.74166666666667</v>
      </c>
      <c r="C92" s="33">
        <f>AVERAGE(Dados!C88:C93)</f>
        <v>129.16</v>
      </c>
      <c r="D92" s="33">
        <f>AVERAGE(Dados!D88:D93)</f>
        <v>135.61500000000001</v>
      </c>
      <c r="E92" s="33">
        <f>AVERAGE(Dados!E88:E93)</f>
        <v>130.36333333333332</v>
      </c>
      <c r="F92" s="33">
        <f>AVERAGE(Dados!F88:F93)</f>
        <v>140.85500000000002</v>
      </c>
      <c r="G92" s="33">
        <f>AVERAGE(Dados!G88:G93)</f>
        <v>122.855</v>
      </c>
      <c r="H92" s="33">
        <f>AVERAGE(Dados!H88:H93)</f>
        <v>132.95333333333332</v>
      </c>
      <c r="I92" s="33">
        <f>AVERAGE(Dados!I88:I93)</f>
        <v>125.52999999999999</v>
      </c>
      <c r="J92" s="33">
        <f>AVERAGE(Dados!J88:J93)</f>
        <v>132.21</v>
      </c>
      <c r="K92" s="33">
        <f>AVERAGE(Dados!K88:K93)</f>
        <v>131.09333333333333</v>
      </c>
    </row>
    <row r="93" spans="1:11" x14ac:dyDescent="0.25">
      <c r="A93" s="32">
        <v>40269</v>
      </c>
      <c r="B93" s="33">
        <f>AVERAGE(Dados!B89:B94)</f>
        <v>133.96333333333334</v>
      </c>
      <c r="C93" s="33">
        <f>AVERAGE(Dados!C89:C94)</f>
        <v>130.155</v>
      </c>
      <c r="D93" s="33">
        <f>AVERAGE(Dados!D89:D94)</f>
        <v>136.70500000000001</v>
      </c>
      <c r="E93" s="33">
        <f>AVERAGE(Dados!E89:E94)</f>
        <v>131.21</v>
      </c>
      <c r="F93" s="33">
        <f>AVERAGE(Dados!F89:F94)</f>
        <v>141.97</v>
      </c>
      <c r="G93" s="33">
        <f>AVERAGE(Dados!G89:G94)</f>
        <v>123.71499999999999</v>
      </c>
      <c r="H93" s="33">
        <f>AVERAGE(Dados!H89:H94)</f>
        <v>134.16</v>
      </c>
      <c r="I93" s="33">
        <f>AVERAGE(Dados!I89:I94)</f>
        <v>126.06</v>
      </c>
      <c r="J93" s="33">
        <f>AVERAGE(Dados!J89:J94)</f>
        <v>133.69500000000002</v>
      </c>
      <c r="K93" s="33">
        <f>AVERAGE(Dados!K89:K94)</f>
        <v>132.08333333333334</v>
      </c>
    </row>
    <row r="94" spans="1:11" x14ac:dyDescent="0.25">
      <c r="A94" s="32">
        <v>40299</v>
      </c>
      <c r="B94" s="33">
        <f>AVERAGE(Dados!B90:B95)</f>
        <v>135.05333333333334</v>
      </c>
      <c r="C94" s="33">
        <f>AVERAGE(Dados!C90:C95)</f>
        <v>130.96833333333333</v>
      </c>
      <c r="D94" s="33">
        <f>AVERAGE(Dados!D90:D95)</f>
        <v>137.66499999999999</v>
      </c>
      <c r="E94" s="33">
        <f>AVERAGE(Dados!E90:E95)</f>
        <v>131.92333333333335</v>
      </c>
      <c r="F94" s="33">
        <f>AVERAGE(Dados!F90:F95)</f>
        <v>142.71833333333333</v>
      </c>
      <c r="G94" s="33">
        <f>AVERAGE(Dados!G90:G95)</f>
        <v>124.33499999999999</v>
      </c>
      <c r="H94" s="33">
        <f>AVERAGE(Dados!H90:H95)</f>
        <v>134.88333333333333</v>
      </c>
      <c r="I94" s="33">
        <f>AVERAGE(Dados!I90:I95)</f>
        <v>126.77833333333335</v>
      </c>
      <c r="J94" s="33">
        <f>AVERAGE(Dados!J90:J95)</f>
        <v>134.965</v>
      </c>
      <c r="K94" s="33">
        <f>AVERAGE(Dados!K90:K95)</f>
        <v>132.76166666666666</v>
      </c>
    </row>
    <row r="95" spans="1:11" x14ac:dyDescent="0.25">
      <c r="A95" s="32">
        <v>40330</v>
      </c>
      <c r="B95" s="33">
        <f>AVERAGE(Dados!B91:B96)</f>
        <v>135.87666666666667</v>
      </c>
      <c r="C95" s="33">
        <f>AVERAGE(Dados!C91:C96)</f>
        <v>131.71</v>
      </c>
      <c r="D95" s="33">
        <f>AVERAGE(Dados!D91:D96)</f>
        <v>138.285</v>
      </c>
      <c r="E95" s="33">
        <f>AVERAGE(Dados!E91:E96)</f>
        <v>132.4366666666667</v>
      </c>
      <c r="F95" s="33">
        <f>AVERAGE(Dados!F91:F96)</f>
        <v>143.29833333333332</v>
      </c>
      <c r="G95" s="33">
        <f>AVERAGE(Dados!G91:G96)</f>
        <v>124.43</v>
      </c>
      <c r="H95" s="33">
        <f>AVERAGE(Dados!H91:H96)</f>
        <v>135.27833333333334</v>
      </c>
      <c r="I95" s="33">
        <f>AVERAGE(Dados!I91:I96)</f>
        <v>127.42666666666666</v>
      </c>
      <c r="J95" s="33">
        <f>AVERAGE(Dados!J91:J96)</f>
        <v>135.88833333333332</v>
      </c>
      <c r="K95" s="33">
        <f>AVERAGE(Dados!K91:K96)</f>
        <v>132.88166666666669</v>
      </c>
    </row>
    <row r="96" spans="1:11" x14ac:dyDescent="0.25">
      <c r="A96" s="32">
        <v>40360</v>
      </c>
      <c r="B96" s="33">
        <f>AVERAGE(Dados!B92:B97)</f>
        <v>136.43166666666667</v>
      </c>
      <c r="C96" s="33">
        <f>AVERAGE(Dados!C92:C97)</f>
        <v>132.30499999999998</v>
      </c>
      <c r="D96" s="33">
        <f>AVERAGE(Dados!D92:D97)</f>
        <v>139.22166666666666</v>
      </c>
      <c r="E96" s="33">
        <f>AVERAGE(Dados!E92:E97)</f>
        <v>132.67999999999998</v>
      </c>
      <c r="F96" s="33">
        <f>AVERAGE(Dados!F92:F97)</f>
        <v>143.70333333333332</v>
      </c>
      <c r="G96" s="33">
        <f>AVERAGE(Dados!G92:G97)</f>
        <v>124.92666666666666</v>
      </c>
      <c r="H96" s="33">
        <f>AVERAGE(Dados!H92:H97)</f>
        <v>134.85166666666666</v>
      </c>
      <c r="I96" s="33">
        <f>AVERAGE(Dados!I92:I97)</f>
        <v>127.91500000000001</v>
      </c>
      <c r="J96" s="33">
        <f>AVERAGE(Dados!J92:J97)</f>
        <v>136.48333333333335</v>
      </c>
      <c r="K96" s="33">
        <f>AVERAGE(Dados!K92:K97)</f>
        <v>133.43833333333333</v>
      </c>
    </row>
    <row r="97" spans="1:11" x14ac:dyDescent="0.25">
      <c r="A97" s="32">
        <v>40391</v>
      </c>
      <c r="B97" s="33">
        <f>AVERAGE(Dados!B93:B98)</f>
        <v>136.83166666666668</v>
      </c>
      <c r="C97" s="33">
        <f>AVERAGE(Dados!C93:C98)</f>
        <v>132.58833333333334</v>
      </c>
      <c r="D97" s="33">
        <f>AVERAGE(Dados!D93:D98)</f>
        <v>139.80166666666668</v>
      </c>
      <c r="E97" s="33">
        <f>AVERAGE(Dados!E93:E98)</f>
        <v>132.97333333333333</v>
      </c>
      <c r="F97" s="33">
        <f>AVERAGE(Dados!F93:F98)</f>
        <v>144.15166666666667</v>
      </c>
      <c r="G97" s="33">
        <f>AVERAGE(Dados!G93:G98)</f>
        <v>125.41000000000001</v>
      </c>
      <c r="H97" s="33">
        <f>AVERAGE(Dados!H93:H98)</f>
        <v>134.56833333333336</v>
      </c>
      <c r="I97" s="33">
        <f>AVERAGE(Dados!I93:I98)</f>
        <v>128.11666666666665</v>
      </c>
      <c r="J97" s="33">
        <f>AVERAGE(Dados!J93:J98)</f>
        <v>136.61499999999998</v>
      </c>
      <c r="K97" s="33">
        <f>AVERAGE(Dados!K93:K98)</f>
        <v>134.14666666666668</v>
      </c>
    </row>
    <row r="98" spans="1:11" x14ac:dyDescent="0.25">
      <c r="A98" s="32">
        <v>40422</v>
      </c>
      <c r="B98" s="33">
        <f>AVERAGE(Dados!B94:B99)</f>
        <v>137.26499999999999</v>
      </c>
      <c r="C98" s="33">
        <f>AVERAGE(Dados!C94:C99)</f>
        <v>132.69500000000002</v>
      </c>
      <c r="D98" s="33">
        <f>AVERAGE(Dados!D94:D99)</f>
        <v>140.22833333333332</v>
      </c>
      <c r="E98" s="33">
        <f>AVERAGE(Dados!E94:E99)</f>
        <v>133.17333333333332</v>
      </c>
      <c r="F98" s="33">
        <f>AVERAGE(Dados!F94:F99)</f>
        <v>144.435</v>
      </c>
      <c r="G98" s="33">
        <f>AVERAGE(Dados!G94:G99)</f>
        <v>125.29166666666667</v>
      </c>
      <c r="H98" s="33">
        <f>AVERAGE(Dados!H94:H99)</f>
        <v>133.95833333333334</v>
      </c>
      <c r="I98" s="33">
        <f>AVERAGE(Dados!I94:I99)</f>
        <v>128.65333333333331</v>
      </c>
      <c r="J98" s="33">
        <f>AVERAGE(Dados!J94:J99)</f>
        <v>136.39499999999998</v>
      </c>
      <c r="K98" s="33">
        <f>AVERAGE(Dados!K94:K99)</f>
        <v>134.52499999999998</v>
      </c>
    </row>
    <row r="99" spans="1:11" x14ac:dyDescent="0.25">
      <c r="A99" s="32">
        <v>40452</v>
      </c>
      <c r="B99" s="33">
        <f>AVERAGE(Dados!B95:B100)</f>
        <v>137.55333333333334</v>
      </c>
      <c r="C99" s="33">
        <f>AVERAGE(Dados!C95:C100)</f>
        <v>133.04000000000002</v>
      </c>
      <c r="D99" s="33">
        <f>AVERAGE(Dados!D95:D100)</f>
        <v>141.13333333333335</v>
      </c>
      <c r="E99" s="33">
        <f>AVERAGE(Dados!E95:E100)</f>
        <v>133.37166666666664</v>
      </c>
      <c r="F99" s="33">
        <f>AVERAGE(Dados!F95:F100)</f>
        <v>144.72666666666666</v>
      </c>
      <c r="G99" s="33">
        <f>AVERAGE(Dados!G95:G100)</f>
        <v>125.21833333333335</v>
      </c>
      <c r="H99" s="33">
        <f>AVERAGE(Dados!H95:H100)</f>
        <v>133.51333333333335</v>
      </c>
      <c r="I99" s="33">
        <f>AVERAGE(Dados!I95:I100)</f>
        <v>129.25333333333336</v>
      </c>
      <c r="J99" s="33">
        <f>AVERAGE(Dados!J95:J100)</f>
        <v>136.83833333333334</v>
      </c>
      <c r="K99" s="33">
        <f>AVERAGE(Dados!K95:K100)</f>
        <v>135.095</v>
      </c>
    </row>
    <row r="100" spans="1:11" x14ac:dyDescent="0.25">
      <c r="A100" s="32">
        <v>40483</v>
      </c>
      <c r="B100" s="33">
        <f>AVERAGE(Dados!B96:B101)</f>
        <v>138.14499999999998</v>
      </c>
      <c r="C100" s="33">
        <f>AVERAGE(Dados!C96:C101)</f>
        <v>133.495</v>
      </c>
      <c r="D100" s="33">
        <f>AVERAGE(Dados!D96:D101)</f>
        <v>141.97</v>
      </c>
      <c r="E100" s="33">
        <f>AVERAGE(Dados!E96:E101)</f>
        <v>133.76333333333332</v>
      </c>
      <c r="F100" s="33">
        <f>AVERAGE(Dados!F96:F101)</f>
        <v>145.20166666666665</v>
      </c>
      <c r="G100" s="33">
        <f>AVERAGE(Dados!G96:G101)</f>
        <v>125.73500000000001</v>
      </c>
      <c r="H100" s="33">
        <f>AVERAGE(Dados!H96:H101)</f>
        <v>133.66166666666666</v>
      </c>
      <c r="I100" s="33">
        <f>AVERAGE(Dados!I96:I101)</f>
        <v>129.79833333333335</v>
      </c>
      <c r="J100" s="33">
        <f>AVERAGE(Dados!J96:J101)</f>
        <v>137.18166666666667</v>
      </c>
      <c r="K100" s="33">
        <f>AVERAGE(Dados!K96:K101)</f>
        <v>135.62833333333333</v>
      </c>
    </row>
    <row r="101" spans="1:11" x14ac:dyDescent="0.25">
      <c r="A101" s="32">
        <v>40513</v>
      </c>
      <c r="B101" s="33">
        <f>AVERAGE(Dados!B97:B102)</f>
        <v>138.54500000000002</v>
      </c>
      <c r="C101" s="33">
        <f>AVERAGE(Dados!C97:C102)</f>
        <v>134.40333333333334</v>
      </c>
      <c r="D101" s="33">
        <f>AVERAGE(Dados!D97:D102)</f>
        <v>143.315</v>
      </c>
      <c r="E101" s="33">
        <f>AVERAGE(Dados!E97:E102)</f>
        <v>134.31333333333336</v>
      </c>
      <c r="F101" s="33">
        <f>AVERAGE(Dados!F97:F102)</f>
        <v>145.66</v>
      </c>
      <c r="G101" s="33">
        <f>AVERAGE(Dados!G97:G102)</f>
        <v>126.67166666666668</v>
      </c>
      <c r="H101" s="33">
        <f>AVERAGE(Dados!H97:H102)</f>
        <v>135.00166666666667</v>
      </c>
      <c r="I101" s="33">
        <f>AVERAGE(Dados!I97:I102)</f>
        <v>130.20999999999998</v>
      </c>
      <c r="J101" s="33">
        <f>AVERAGE(Dados!J97:J102)</f>
        <v>137.64833333333334</v>
      </c>
      <c r="K101" s="33">
        <f>AVERAGE(Dados!K97:K102)</f>
        <v>136.34166666666667</v>
      </c>
    </row>
    <row r="102" spans="1:11" x14ac:dyDescent="0.25">
      <c r="A102" s="32">
        <v>40544</v>
      </c>
      <c r="B102" s="33">
        <f>AVERAGE(Dados!B98:B103)</f>
        <v>139.10166666666666</v>
      </c>
      <c r="C102" s="33">
        <f>AVERAGE(Dados!C98:C103)</f>
        <v>135.12500000000003</v>
      </c>
      <c r="D102" s="33">
        <f>AVERAGE(Dados!D98:D103)</f>
        <v>143.89166666666665</v>
      </c>
      <c r="E102" s="33">
        <f>AVERAGE(Dados!E98:E103)</f>
        <v>134.54166666666666</v>
      </c>
      <c r="F102" s="33">
        <f>AVERAGE(Dados!F98:F103)</f>
        <v>146.24166666666665</v>
      </c>
      <c r="G102" s="33">
        <f>AVERAGE(Dados!G98:G103)</f>
        <v>127.36333333333334</v>
      </c>
      <c r="H102" s="33">
        <f>AVERAGE(Dados!H98:H103)</f>
        <v>136.61166666666665</v>
      </c>
      <c r="I102" s="33">
        <f>AVERAGE(Dados!I98:I103)</f>
        <v>130.47666666666666</v>
      </c>
      <c r="J102" s="33">
        <f>AVERAGE(Dados!J98:J103)</f>
        <v>138.45833333333334</v>
      </c>
      <c r="K102" s="33">
        <f>AVERAGE(Dados!K98:K103)</f>
        <v>136.59666666666666</v>
      </c>
    </row>
    <row r="103" spans="1:11" x14ac:dyDescent="0.25">
      <c r="A103" s="32">
        <v>40575</v>
      </c>
      <c r="B103" s="33">
        <f>AVERAGE(Dados!B99:B104)</f>
        <v>139.59666666666666</v>
      </c>
      <c r="C103" s="33">
        <f>AVERAGE(Dados!C99:C104)</f>
        <v>135.88333333333335</v>
      </c>
      <c r="D103" s="33">
        <f>AVERAGE(Dados!D99:D104)</f>
        <v>144.63833333333332</v>
      </c>
      <c r="E103" s="33">
        <f>AVERAGE(Dados!E99:E104)</f>
        <v>134.93999999999997</v>
      </c>
      <c r="F103" s="33">
        <f>AVERAGE(Dados!F99:F104)</f>
        <v>146.67166666666665</v>
      </c>
      <c r="G103" s="33">
        <f>AVERAGE(Dados!G99:G104)</f>
        <v>128.00833333333335</v>
      </c>
      <c r="H103" s="33">
        <f>AVERAGE(Dados!H99:H104)</f>
        <v>137.62666666666667</v>
      </c>
      <c r="I103" s="33">
        <f>AVERAGE(Dados!I99:I104)</f>
        <v>130.72166666666666</v>
      </c>
      <c r="J103" s="33">
        <f>AVERAGE(Dados!J99:J104)</f>
        <v>139.22666666666669</v>
      </c>
      <c r="K103" s="33">
        <f>AVERAGE(Dados!K99:K104)</f>
        <v>136.41999999999999</v>
      </c>
    </row>
    <row r="104" spans="1:11" x14ac:dyDescent="0.25">
      <c r="A104" s="32">
        <v>40603</v>
      </c>
      <c r="B104" s="33">
        <f>AVERAGE(Dados!B100:B105)</f>
        <v>139.93500000000003</v>
      </c>
      <c r="C104" s="33">
        <f>AVERAGE(Dados!C100:C105)</f>
        <v>136.53833333333333</v>
      </c>
      <c r="D104" s="33">
        <f>AVERAGE(Dados!D100:D105)</f>
        <v>145.20499999999998</v>
      </c>
      <c r="E104" s="33">
        <f>AVERAGE(Dados!E100:E105)</f>
        <v>135.405</v>
      </c>
      <c r="F104" s="33">
        <f>AVERAGE(Dados!F100:F105)</f>
        <v>147.22500000000002</v>
      </c>
      <c r="G104" s="33">
        <f>AVERAGE(Dados!G100:G105)</f>
        <v>129.17333333333335</v>
      </c>
      <c r="H104" s="33">
        <f>AVERAGE(Dados!H100:H105)</f>
        <v>138.59666666666666</v>
      </c>
      <c r="I104" s="33">
        <f>AVERAGE(Dados!I100:I105)</f>
        <v>130.93333333333334</v>
      </c>
      <c r="J104" s="33">
        <f>AVERAGE(Dados!J100:J105)</f>
        <v>139.71666666666667</v>
      </c>
      <c r="K104" s="33">
        <f>AVERAGE(Dados!K100:K105)</f>
        <v>136.79833333333332</v>
      </c>
    </row>
    <row r="105" spans="1:11" x14ac:dyDescent="0.25">
      <c r="A105" s="32">
        <v>40634</v>
      </c>
      <c r="B105" s="33">
        <f>AVERAGE(Dados!B101:B106)</f>
        <v>140.28833333333333</v>
      </c>
      <c r="C105" s="33">
        <f>AVERAGE(Dados!C101:C106)</f>
        <v>136.92166666666668</v>
      </c>
      <c r="D105" s="33">
        <f>AVERAGE(Dados!D101:D106)</f>
        <v>145.58333333333331</v>
      </c>
      <c r="E105" s="33">
        <f>AVERAGE(Dados!E101:E106)</f>
        <v>135.96666666666667</v>
      </c>
      <c r="F105" s="33">
        <f>AVERAGE(Dados!F101:F106)</f>
        <v>147.29333333333332</v>
      </c>
      <c r="G105" s="33">
        <f>AVERAGE(Dados!G101:G106)</f>
        <v>129.94000000000003</v>
      </c>
      <c r="H105" s="33">
        <f>AVERAGE(Dados!H101:H106)</f>
        <v>138.93999999999997</v>
      </c>
      <c r="I105" s="33">
        <f>AVERAGE(Dados!I101:I106)</f>
        <v>131.12</v>
      </c>
      <c r="J105" s="33">
        <f>AVERAGE(Dados!J101:J106)</f>
        <v>140.26</v>
      </c>
      <c r="K105" s="33">
        <f>AVERAGE(Dados!K101:K106)</f>
        <v>137.00500000000002</v>
      </c>
    </row>
    <row r="106" spans="1:11" x14ac:dyDescent="0.25">
      <c r="A106" s="32">
        <v>40664</v>
      </c>
      <c r="B106" s="33">
        <f>AVERAGE(Dados!B102:B107)</f>
        <v>140.48166666666668</v>
      </c>
      <c r="C106" s="33">
        <f>AVERAGE(Dados!C102:C107)</f>
        <v>137.42499999999998</v>
      </c>
      <c r="D106" s="33">
        <f>AVERAGE(Dados!D102:D107)</f>
        <v>145.9383333333333</v>
      </c>
      <c r="E106" s="33">
        <f>AVERAGE(Dados!E102:E107)</f>
        <v>137.76166666666666</v>
      </c>
      <c r="F106" s="33">
        <f>AVERAGE(Dados!F102:F107)</f>
        <v>147.59666666666666</v>
      </c>
      <c r="G106" s="33">
        <f>AVERAGE(Dados!G102:G107)</f>
        <v>130.60500000000002</v>
      </c>
      <c r="H106" s="33">
        <f>AVERAGE(Dados!H102:H107)</f>
        <v>139.035</v>
      </c>
      <c r="I106" s="33">
        <f>AVERAGE(Dados!I102:I107)</f>
        <v>131.03166666666667</v>
      </c>
      <c r="J106" s="33">
        <f>AVERAGE(Dados!J102:J107)</f>
        <v>140.92833333333334</v>
      </c>
      <c r="K106" s="33">
        <f>AVERAGE(Dados!K102:K107)</f>
        <v>137.34333333333333</v>
      </c>
    </row>
    <row r="107" spans="1:11" x14ac:dyDescent="0.25">
      <c r="A107" s="32">
        <v>40695</v>
      </c>
      <c r="B107" s="33">
        <f>AVERAGE(Dados!B103:B108)</f>
        <v>141.07833333333332</v>
      </c>
      <c r="C107" s="33">
        <f>AVERAGE(Dados!C103:C108)</f>
        <v>137.11666666666665</v>
      </c>
      <c r="D107" s="33">
        <f>AVERAGE(Dados!D103:D108)</f>
        <v>146.13833333333332</v>
      </c>
      <c r="E107" s="33">
        <f>AVERAGE(Dados!E103:E108)</f>
        <v>138.99333333333331</v>
      </c>
      <c r="F107" s="33">
        <f>AVERAGE(Dados!F103:F108)</f>
        <v>147.60333333333332</v>
      </c>
      <c r="G107" s="33">
        <f>AVERAGE(Dados!G103:G108)</f>
        <v>130.79000000000002</v>
      </c>
      <c r="H107" s="33">
        <f>AVERAGE(Dados!H103:H108)</f>
        <v>137.86166666666665</v>
      </c>
      <c r="I107" s="33">
        <f>AVERAGE(Dados!I103:I108)</f>
        <v>130.87</v>
      </c>
      <c r="J107" s="33">
        <f>AVERAGE(Dados!J103:J108)</f>
        <v>141.47833333333332</v>
      </c>
      <c r="K107" s="33">
        <f>AVERAGE(Dados!K103:K108)</f>
        <v>138.10166666666669</v>
      </c>
    </row>
    <row r="108" spans="1:11" x14ac:dyDescent="0.25">
      <c r="A108" s="32">
        <v>40725</v>
      </c>
      <c r="B108" s="33">
        <f>AVERAGE(Dados!B104:B109)</f>
        <v>141.42999999999998</v>
      </c>
      <c r="C108" s="33">
        <f>AVERAGE(Dados!C104:C109)</f>
        <v>137.00333333333333</v>
      </c>
      <c r="D108" s="33">
        <f>AVERAGE(Dados!D104:D109)</f>
        <v>147.00333333333333</v>
      </c>
      <c r="E108" s="33">
        <f>AVERAGE(Dados!E104:E109)</f>
        <v>140.37</v>
      </c>
      <c r="F108" s="33">
        <f>AVERAGE(Dados!F104:F109)</f>
        <v>147.83000000000001</v>
      </c>
      <c r="G108" s="33">
        <f>AVERAGE(Dados!G104:G109)</f>
        <v>130.94500000000002</v>
      </c>
      <c r="H108" s="33">
        <f>AVERAGE(Dados!H104:H109)</f>
        <v>137.15</v>
      </c>
      <c r="I108" s="33">
        <f>AVERAGE(Dados!I104:I109)</f>
        <v>130.8416666666667</v>
      </c>
      <c r="J108" s="33">
        <f>AVERAGE(Dados!J104:J109)</f>
        <v>141.94666666666669</v>
      </c>
      <c r="K108" s="33">
        <f>AVERAGE(Dados!K104:K109)</f>
        <v>138.6</v>
      </c>
    </row>
    <row r="109" spans="1:11" x14ac:dyDescent="0.25">
      <c r="A109" s="32">
        <v>40756</v>
      </c>
      <c r="B109" s="33">
        <f>AVERAGE(Dados!B105:B110)</f>
        <v>141.63499999999999</v>
      </c>
      <c r="C109" s="33">
        <f>AVERAGE(Dados!C105:C110)</f>
        <v>136.76666666666668</v>
      </c>
      <c r="D109" s="33">
        <f>AVERAGE(Dados!D105:D110)</f>
        <v>147.52166666666668</v>
      </c>
      <c r="E109" s="33">
        <f>AVERAGE(Dados!E105:E110)</f>
        <v>141.67999999999998</v>
      </c>
      <c r="F109" s="33">
        <f>AVERAGE(Dados!F105:F110)</f>
        <v>147.90833333333333</v>
      </c>
      <c r="G109" s="33">
        <f>AVERAGE(Dados!G105:G110)</f>
        <v>130.91499999999999</v>
      </c>
      <c r="H109" s="33">
        <f>AVERAGE(Dados!H105:H110)</f>
        <v>136.845</v>
      </c>
      <c r="I109" s="33">
        <f>AVERAGE(Dados!I105:I110)</f>
        <v>130.78</v>
      </c>
      <c r="J109" s="33">
        <f>AVERAGE(Dados!J105:J110)</f>
        <v>142.59833333333333</v>
      </c>
      <c r="K109" s="33">
        <f>AVERAGE(Dados!K105:K110)</f>
        <v>139.375</v>
      </c>
    </row>
    <row r="110" spans="1:11" x14ac:dyDescent="0.25">
      <c r="A110" s="32">
        <v>40787</v>
      </c>
      <c r="B110" s="33">
        <f>AVERAGE(Dados!B106:B111)</f>
        <v>141.71</v>
      </c>
      <c r="C110" s="33">
        <f>AVERAGE(Dados!C106:C111)</f>
        <v>136.62</v>
      </c>
      <c r="D110" s="33">
        <f>AVERAGE(Dados!D106:D111)</f>
        <v>148.52333333333334</v>
      </c>
      <c r="E110" s="33">
        <f>AVERAGE(Dados!E106:E111)</f>
        <v>142.50333333333333</v>
      </c>
      <c r="F110" s="33">
        <f>AVERAGE(Dados!F106:F111)</f>
        <v>147.84833333333333</v>
      </c>
      <c r="G110" s="33">
        <f>AVERAGE(Dados!G106:G111)</f>
        <v>130.875</v>
      </c>
      <c r="H110" s="33">
        <f>AVERAGE(Dados!H106:H111)</f>
        <v>136.67333333333335</v>
      </c>
      <c r="I110" s="33">
        <f>AVERAGE(Dados!I106:I111)</f>
        <v>130.75666666666666</v>
      </c>
      <c r="J110" s="33">
        <f>AVERAGE(Dados!J106:J111)</f>
        <v>143.39333333333335</v>
      </c>
      <c r="K110" s="33">
        <f>AVERAGE(Dados!K106:K111)</f>
        <v>139.57833333333335</v>
      </c>
    </row>
    <row r="111" spans="1:11" x14ac:dyDescent="0.25">
      <c r="A111" s="32">
        <v>40817</v>
      </c>
      <c r="B111" s="33">
        <f>AVERAGE(Dados!B107:B112)</f>
        <v>141.78666666666666</v>
      </c>
      <c r="C111" s="33">
        <f>AVERAGE(Dados!C107:C112)</f>
        <v>136.66666666666666</v>
      </c>
      <c r="D111" s="33">
        <f>AVERAGE(Dados!D107:D112)</f>
        <v>149.42166666666668</v>
      </c>
      <c r="E111" s="33">
        <f>AVERAGE(Dados!E107:E112)</f>
        <v>142.405</v>
      </c>
      <c r="F111" s="33">
        <f>AVERAGE(Dados!F107:F112)</f>
        <v>147.92999999999998</v>
      </c>
      <c r="G111" s="33">
        <f>AVERAGE(Dados!G107:G112)</f>
        <v>131.16</v>
      </c>
      <c r="H111" s="33">
        <f>AVERAGE(Dados!H107:H112)</f>
        <v>136.70500000000001</v>
      </c>
      <c r="I111" s="33">
        <f>AVERAGE(Dados!I107:I112)</f>
        <v>130.60499999999999</v>
      </c>
      <c r="J111" s="33">
        <f>AVERAGE(Dados!J107:J112)</f>
        <v>143.995</v>
      </c>
      <c r="K111" s="33">
        <f>AVERAGE(Dados!K107:K112)</f>
        <v>139.69999999999999</v>
      </c>
    </row>
    <row r="112" spans="1:11" x14ac:dyDescent="0.25">
      <c r="A112" s="32">
        <v>40848</v>
      </c>
      <c r="B112" s="33">
        <f>AVERAGE(Dados!B108:B113)</f>
        <v>141.96</v>
      </c>
      <c r="C112" s="33">
        <f>AVERAGE(Dados!C108:C113)</f>
        <v>136.96333333333334</v>
      </c>
      <c r="D112" s="33">
        <f>AVERAGE(Dados!D108:D113)</f>
        <v>149.97666666666666</v>
      </c>
      <c r="E112" s="33">
        <f>AVERAGE(Dados!E108:E113)</f>
        <v>140.75833333333333</v>
      </c>
      <c r="F112" s="33">
        <f>AVERAGE(Dados!F108:F113)</f>
        <v>147.78166666666667</v>
      </c>
      <c r="G112" s="33">
        <f>AVERAGE(Dados!G108:G113)</f>
        <v>130.95166666666668</v>
      </c>
      <c r="H112" s="33">
        <f>AVERAGE(Dados!H108:H113)</f>
        <v>136.94333333333336</v>
      </c>
      <c r="I112" s="33">
        <f>AVERAGE(Dados!I108:I113)</f>
        <v>130.76833333333332</v>
      </c>
      <c r="J112" s="33">
        <f>AVERAGE(Dados!J108:J113)</f>
        <v>144.70666666666668</v>
      </c>
      <c r="K112" s="33">
        <f>AVERAGE(Dados!K108:K113)</f>
        <v>139.76500000000001</v>
      </c>
    </row>
    <row r="113" spans="1:11" x14ac:dyDescent="0.25">
      <c r="A113" s="32">
        <v>40878</v>
      </c>
      <c r="B113" s="33">
        <f>AVERAGE(Dados!B109:B114)</f>
        <v>141.66833333333332</v>
      </c>
      <c r="C113" s="33">
        <f>AVERAGE(Dados!C109:C114)</f>
        <v>137.62833333333333</v>
      </c>
      <c r="D113" s="33">
        <f>AVERAGE(Dados!D109:D114)</f>
        <v>149.71833333333336</v>
      </c>
      <c r="E113" s="33">
        <f>AVERAGE(Dados!E109:E114)</f>
        <v>139.86333333333334</v>
      </c>
      <c r="F113" s="33">
        <f>AVERAGE(Dados!F109:F114)</f>
        <v>148.18833333333336</v>
      </c>
      <c r="G113" s="33">
        <f>AVERAGE(Dados!G109:G114)</f>
        <v>131.74</v>
      </c>
      <c r="H113" s="33">
        <f>AVERAGE(Dados!H109:H114)</f>
        <v>138.33166666666668</v>
      </c>
      <c r="I113" s="33">
        <f>AVERAGE(Dados!I109:I114)</f>
        <v>131.02666666666667</v>
      </c>
      <c r="J113" s="33">
        <f>AVERAGE(Dados!J109:J114)</f>
        <v>146.15833333333333</v>
      </c>
      <c r="K113" s="33">
        <f>AVERAGE(Dados!K109:K114)</f>
        <v>139.42166666666665</v>
      </c>
    </row>
    <row r="114" spans="1:11" x14ac:dyDescent="0.25">
      <c r="A114" s="32">
        <v>40909</v>
      </c>
      <c r="B114" s="33">
        <f>AVERAGE(Dados!B110:B115)</f>
        <v>141.08500000000001</v>
      </c>
      <c r="C114" s="33">
        <f>AVERAGE(Dados!C110:C115)</f>
        <v>137.31833333333336</v>
      </c>
      <c r="D114" s="33">
        <f>AVERAGE(Dados!D110:D115)</f>
        <v>150.05500000000001</v>
      </c>
      <c r="E114" s="33">
        <f>AVERAGE(Dados!E110:E115)</f>
        <v>139.03166666666667</v>
      </c>
      <c r="F114" s="33">
        <f>AVERAGE(Dados!F110:F115)</f>
        <v>148.14833333333331</v>
      </c>
      <c r="G114" s="33">
        <f>AVERAGE(Dados!G110:G115)</f>
        <v>131.89833333333334</v>
      </c>
      <c r="H114" s="33">
        <f>AVERAGE(Dados!H110:H115)</f>
        <v>138.38166666666666</v>
      </c>
      <c r="I114" s="33">
        <f>AVERAGE(Dados!I110:I115)</f>
        <v>131</v>
      </c>
      <c r="J114" s="33">
        <f>AVERAGE(Dados!J110:J115)</f>
        <v>146.24833333333333</v>
      </c>
      <c r="K114" s="33">
        <f>AVERAGE(Dados!K110:K115)</f>
        <v>139.57833333333335</v>
      </c>
    </row>
    <row r="115" spans="1:11" x14ac:dyDescent="0.25">
      <c r="A115" s="32">
        <v>40940</v>
      </c>
      <c r="B115" s="33">
        <f>AVERAGE(Dados!B111:B116)</f>
        <v>140.83500000000001</v>
      </c>
      <c r="C115" s="33">
        <f>AVERAGE(Dados!C111:C116)</f>
        <v>137.31666666666666</v>
      </c>
      <c r="D115" s="33">
        <f>AVERAGE(Dados!D111:D116)</f>
        <v>150.49333333333334</v>
      </c>
      <c r="E115" s="33">
        <f>AVERAGE(Dados!E111:E116)</f>
        <v>138.18666666666667</v>
      </c>
      <c r="F115" s="33">
        <f>AVERAGE(Dados!F111:F116)</f>
        <v>147.91</v>
      </c>
      <c r="G115" s="33">
        <f>AVERAGE(Dados!G111:G116)</f>
        <v>131.53333333333336</v>
      </c>
      <c r="H115" s="33">
        <f>AVERAGE(Dados!H111:H116)</f>
        <v>138.41</v>
      </c>
      <c r="I115" s="33">
        <f>AVERAGE(Dados!I111:I116)</f>
        <v>130.93833333333333</v>
      </c>
      <c r="J115" s="33">
        <f>AVERAGE(Dados!J111:J116)</f>
        <v>145.57499999999999</v>
      </c>
      <c r="K115" s="33">
        <f>AVERAGE(Dados!K111:K116)</f>
        <v>139.75333333333333</v>
      </c>
    </row>
    <row r="116" spans="1:11" x14ac:dyDescent="0.25">
      <c r="A116" s="32">
        <v>40969</v>
      </c>
      <c r="B116" s="33">
        <f>AVERAGE(Dados!B112:B117)</f>
        <v>140.52500000000001</v>
      </c>
      <c r="C116" s="33">
        <f>AVERAGE(Dados!C112:C117)</f>
        <v>137.82500000000002</v>
      </c>
      <c r="D116" s="33">
        <f>AVERAGE(Dados!D112:D117)</f>
        <v>150.41666666666666</v>
      </c>
      <c r="E116" s="33">
        <f>AVERAGE(Dados!E112:E117)</f>
        <v>137.565</v>
      </c>
      <c r="F116" s="33">
        <f>AVERAGE(Dados!F112:F117)</f>
        <v>148.08999999999997</v>
      </c>
      <c r="G116" s="33">
        <f>AVERAGE(Dados!G112:G117)</f>
        <v>129.91666666666669</v>
      </c>
      <c r="H116" s="33">
        <f>AVERAGE(Dados!H112:H117)</f>
        <v>138.37333333333331</v>
      </c>
      <c r="I116" s="33">
        <f>AVERAGE(Dados!I112:I117)</f>
        <v>131.065</v>
      </c>
      <c r="J116" s="33">
        <f>AVERAGE(Dados!J112:J117)</f>
        <v>144.44166666666669</v>
      </c>
      <c r="K116" s="33">
        <f>AVERAGE(Dados!K112:K117)</f>
        <v>140</v>
      </c>
    </row>
    <row r="117" spans="1:11" x14ac:dyDescent="0.25">
      <c r="A117" s="32">
        <v>41000</v>
      </c>
      <c r="B117" s="33">
        <f>AVERAGE(Dados!B113:B118)</f>
        <v>140.48500000000001</v>
      </c>
      <c r="C117" s="33">
        <f>AVERAGE(Dados!C113:C118)</f>
        <v>138.37333333333333</v>
      </c>
      <c r="D117" s="33">
        <f>AVERAGE(Dados!D113:D118)</f>
        <v>150.49166666666667</v>
      </c>
      <c r="E117" s="33">
        <f>AVERAGE(Dados!E113:E118)</f>
        <v>137.64333333333335</v>
      </c>
      <c r="F117" s="33">
        <f>AVERAGE(Dados!F113:F118)</f>
        <v>148.49</v>
      </c>
      <c r="G117" s="33">
        <f>AVERAGE(Dados!G113:G118)</f>
        <v>127.28000000000002</v>
      </c>
      <c r="H117" s="33">
        <f>AVERAGE(Dados!H113:H118)</f>
        <v>138.69999999999996</v>
      </c>
      <c r="I117" s="33">
        <f>AVERAGE(Dados!I113:I118)</f>
        <v>131.28166666666669</v>
      </c>
      <c r="J117" s="33">
        <f>AVERAGE(Dados!J113:J118)</f>
        <v>144.24</v>
      </c>
      <c r="K117" s="33">
        <f>AVERAGE(Dados!K113:K118)</f>
        <v>140.12500000000003</v>
      </c>
    </row>
    <row r="118" spans="1:11" x14ac:dyDescent="0.25">
      <c r="A118" s="32">
        <v>41030</v>
      </c>
      <c r="B118" s="33">
        <f>AVERAGE(Dados!B114:B119)</f>
        <v>140.5633333333333</v>
      </c>
      <c r="C118" s="33">
        <f>AVERAGE(Dados!C114:C119)</f>
        <v>138.73833333333334</v>
      </c>
      <c r="D118" s="33">
        <f>AVERAGE(Dados!D114:D119)</f>
        <v>150.79499999999999</v>
      </c>
      <c r="E118" s="33">
        <f>AVERAGE(Dados!E114:E119)</f>
        <v>137.875</v>
      </c>
      <c r="F118" s="33">
        <f>AVERAGE(Dados!F114:F119)</f>
        <v>148.745</v>
      </c>
      <c r="G118" s="33">
        <f>AVERAGE(Dados!G114:G119)</f>
        <v>127.125</v>
      </c>
      <c r="H118" s="33">
        <f>AVERAGE(Dados!H114:H119)</f>
        <v>139.16166666666666</v>
      </c>
      <c r="I118" s="33">
        <f>AVERAGE(Dados!I114:I119)</f>
        <v>131.35333333333332</v>
      </c>
      <c r="J118" s="33">
        <f>AVERAGE(Dados!J114:J119)</f>
        <v>144.03333333333333</v>
      </c>
      <c r="K118" s="33">
        <f>AVERAGE(Dados!K114:K119)</f>
        <v>140.28166666666667</v>
      </c>
    </row>
    <row r="119" spans="1:11" x14ac:dyDescent="0.25">
      <c r="A119" s="32">
        <v>41061</v>
      </c>
      <c r="B119" s="33">
        <f>AVERAGE(Dados!B115:B120)</f>
        <v>141.10333333333332</v>
      </c>
      <c r="C119" s="33">
        <f>AVERAGE(Dados!C115:C120)</f>
        <v>140.00166666666667</v>
      </c>
      <c r="D119" s="33">
        <f>AVERAGE(Dados!D115:D120)</f>
        <v>151.98999999999998</v>
      </c>
      <c r="E119" s="33">
        <f>AVERAGE(Dados!E115:E120)</f>
        <v>137.87</v>
      </c>
      <c r="F119" s="33">
        <f>AVERAGE(Dados!F115:F120)</f>
        <v>148.82666666666668</v>
      </c>
      <c r="G119" s="33">
        <f>AVERAGE(Dados!G115:G120)</f>
        <v>126.63833333333332</v>
      </c>
      <c r="H119" s="33">
        <f>AVERAGE(Dados!H115:H120)</f>
        <v>138.92833333333331</v>
      </c>
      <c r="I119" s="33">
        <f>AVERAGE(Dados!I115:I120)</f>
        <v>131.57000000000002</v>
      </c>
      <c r="J119" s="33">
        <f>AVERAGE(Dados!J115:J120)</f>
        <v>143.16833333333332</v>
      </c>
      <c r="K119" s="33">
        <f>AVERAGE(Dados!K115:K120)</f>
        <v>140.25</v>
      </c>
    </row>
    <row r="120" spans="1:11" x14ac:dyDescent="0.25">
      <c r="A120" s="32">
        <v>41091</v>
      </c>
      <c r="B120" s="33">
        <f>AVERAGE(Dados!B116:B121)</f>
        <v>141.95333333333335</v>
      </c>
      <c r="C120" s="33">
        <f>AVERAGE(Dados!C116:C121)</f>
        <v>142.38166666666666</v>
      </c>
      <c r="D120" s="33">
        <f>AVERAGE(Dados!D116:D121)</f>
        <v>152.29166666666666</v>
      </c>
      <c r="E120" s="33">
        <f>AVERAGE(Dados!E116:E121)</f>
        <v>137.90666666666667</v>
      </c>
      <c r="F120" s="33">
        <f>AVERAGE(Dados!F116:F121)</f>
        <v>149.34</v>
      </c>
      <c r="G120" s="33">
        <f>AVERAGE(Dados!G116:G121)</f>
        <v>126.89833333333333</v>
      </c>
      <c r="H120" s="33">
        <f>AVERAGE(Dados!H116:H121)</f>
        <v>139.845</v>
      </c>
      <c r="I120" s="33">
        <f>AVERAGE(Dados!I116:I121)</f>
        <v>131.97833333333335</v>
      </c>
      <c r="J120" s="33">
        <f>AVERAGE(Dados!J116:J121)</f>
        <v>143.66333333333333</v>
      </c>
      <c r="K120" s="33">
        <f>AVERAGE(Dados!K116:K121)</f>
        <v>140.28666666666666</v>
      </c>
    </row>
    <row r="121" spans="1:11" x14ac:dyDescent="0.25">
      <c r="A121" s="32">
        <v>41122</v>
      </c>
      <c r="B121" s="33">
        <f>AVERAGE(Dados!B117:B122)</f>
        <v>142.63</v>
      </c>
      <c r="C121" s="33">
        <f>AVERAGE(Dados!C117:C122)</f>
        <v>143.51333333333335</v>
      </c>
      <c r="D121" s="33">
        <f>AVERAGE(Dados!D117:D122)</f>
        <v>152.65166666666667</v>
      </c>
      <c r="E121" s="33">
        <f>AVERAGE(Dados!E117:E122)</f>
        <v>137.83333333333334</v>
      </c>
      <c r="F121" s="33">
        <f>AVERAGE(Dados!F117:F122)</f>
        <v>150.35</v>
      </c>
      <c r="G121" s="33">
        <f>AVERAGE(Dados!G117:G122)</f>
        <v>128.31666666666666</v>
      </c>
      <c r="H121" s="33">
        <f>AVERAGE(Dados!H117:H122)</f>
        <v>140.88333333333333</v>
      </c>
      <c r="I121" s="33">
        <f>AVERAGE(Dados!I117:I122)</f>
        <v>132.43833333333333</v>
      </c>
      <c r="J121" s="33">
        <f>AVERAGE(Dados!J117:J122)</f>
        <v>145.02833333333334</v>
      </c>
      <c r="K121" s="33">
        <f>AVERAGE(Dados!K117:K122)</f>
        <v>140.16333333333336</v>
      </c>
    </row>
    <row r="122" spans="1:11" x14ac:dyDescent="0.25">
      <c r="A122" s="32">
        <v>41153</v>
      </c>
      <c r="B122" s="33">
        <f>AVERAGE(Dados!B118:B123)</f>
        <v>143.23666666666668</v>
      </c>
      <c r="C122" s="33">
        <f>AVERAGE(Dados!C118:C123)</f>
        <v>143.52833333333334</v>
      </c>
      <c r="D122" s="33">
        <f>AVERAGE(Dados!D118:D123)</f>
        <v>152.78666666666666</v>
      </c>
      <c r="E122" s="33">
        <f>AVERAGE(Dados!E118:E123)</f>
        <v>137.875</v>
      </c>
      <c r="F122" s="33">
        <f>AVERAGE(Dados!F118:F123)</f>
        <v>150.75833333333335</v>
      </c>
      <c r="G122" s="33">
        <f>AVERAGE(Dados!G118:G123)</f>
        <v>130.18499999999997</v>
      </c>
      <c r="H122" s="33">
        <f>AVERAGE(Dados!H118:H123)</f>
        <v>141.53166666666667</v>
      </c>
      <c r="I122" s="33">
        <f>AVERAGE(Dados!I118:I123)</f>
        <v>132.31333333333333</v>
      </c>
      <c r="J122" s="33">
        <f>AVERAGE(Dados!J118:J123)</f>
        <v>146.36333333333332</v>
      </c>
      <c r="K122" s="33">
        <f>AVERAGE(Dados!K118:K123)</f>
        <v>140.17166666666671</v>
      </c>
    </row>
    <row r="123" spans="1:11" x14ac:dyDescent="0.25">
      <c r="A123" s="32">
        <v>41183</v>
      </c>
      <c r="B123" s="33">
        <f>AVERAGE(Dados!B119:B124)</f>
        <v>143.78</v>
      </c>
      <c r="C123" s="33">
        <f>AVERAGE(Dados!C119:C124)</f>
        <v>143.96166666666667</v>
      </c>
      <c r="D123" s="33">
        <f>AVERAGE(Dados!D119:D124)</f>
        <v>153.03666666666666</v>
      </c>
      <c r="E123" s="33">
        <f>AVERAGE(Dados!E119:E124)</f>
        <v>138.26500000000001</v>
      </c>
      <c r="F123" s="33">
        <f>AVERAGE(Dados!F119:F124)</f>
        <v>151.44499999999999</v>
      </c>
      <c r="G123" s="33">
        <f>AVERAGE(Dados!G119:G124)</f>
        <v>133.11333333333334</v>
      </c>
      <c r="H123" s="33">
        <f>AVERAGE(Dados!H119:H124)</f>
        <v>142.05833333333334</v>
      </c>
      <c r="I123" s="33">
        <f>AVERAGE(Dados!I119:I124)</f>
        <v>132.42833333333331</v>
      </c>
      <c r="J123" s="33">
        <f>AVERAGE(Dados!J119:J124)</f>
        <v>146.96666666666667</v>
      </c>
      <c r="K123" s="33">
        <f>AVERAGE(Dados!K119:K124)</f>
        <v>140.42666666666668</v>
      </c>
    </row>
    <row r="124" spans="1:11" x14ac:dyDescent="0.25">
      <c r="A124" s="32">
        <v>41214</v>
      </c>
      <c r="B124" s="33">
        <f>AVERAGE(Dados!B120:B125)</f>
        <v>144.09166666666667</v>
      </c>
      <c r="C124" s="33">
        <f>AVERAGE(Dados!C120:C125)</f>
        <v>144.02666666666667</v>
      </c>
      <c r="D124" s="33">
        <f>AVERAGE(Dados!D120:D125)</f>
        <v>153.18666666666664</v>
      </c>
      <c r="E124" s="33">
        <f>AVERAGE(Dados!E120:E125)</f>
        <v>138.95333333333335</v>
      </c>
      <c r="F124" s="33">
        <f>AVERAGE(Dados!F120:F125)</f>
        <v>152.02166666666668</v>
      </c>
      <c r="G124" s="33">
        <f>AVERAGE(Dados!G120:G125)</f>
        <v>133.90666666666667</v>
      </c>
      <c r="H124" s="33">
        <f>AVERAGE(Dados!H120:H125)</f>
        <v>142.02333333333331</v>
      </c>
      <c r="I124" s="33">
        <f>AVERAGE(Dados!I120:I125)</f>
        <v>132.51999999999998</v>
      </c>
      <c r="J124" s="33">
        <f>AVERAGE(Dados!J120:J125)</f>
        <v>147.16166666666666</v>
      </c>
      <c r="K124" s="33">
        <f>AVERAGE(Dados!K120:K125)</f>
        <v>140.745</v>
      </c>
    </row>
    <row r="125" spans="1:11" x14ac:dyDescent="0.25">
      <c r="A125" s="32">
        <v>41244</v>
      </c>
      <c r="B125" s="33">
        <f>AVERAGE(Dados!B121:B126)</f>
        <v>144.18833333333333</v>
      </c>
      <c r="C125" s="33">
        <f>AVERAGE(Dados!C121:C126)</f>
        <v>142.94500000000002</v>
      </c>
      <c r="D125" s="33">
        <f>AVERAGE(Dados!D121:D126)</f>
        <v>152.97833333333332</v>
      </c>
      <c r="E125" s="33">
        <f>AVERAGE(Dados!E121:E126)</f>
        <v>139.24333333333334</v>
      </c>
      <c r="F125" s="33">
        <f>AVERAGE(Dados!F121:F126)</f>
        <v>152.8116666666667</v>
      </c>
      <c r="G125" s="33">
        <f>AVERAGE(Dados!G121:G126)</f>
        <v>134.20333333333329</v>
      </c>
      <c r="H125" s="33">
        <f>AVERAGE(Dados!H121:H126)</f>
        <v>141.95000000000002</v>
      </c>
      <c r="I125" s="33">
        <f>AVERAGE(Dados!I121:I126)</f>
        <v>132.76333333333332</v>
      </c>
      <c r="J125" s="33">
        <f>AVERAGE(Dados!J121:J126)</f>
        <v>147.35499999999999</v>
      </c>
      <c r="K125" s="33">
        <f>AVERAGE(Dados!K121:K126)</f>
        <v>141.33500000000001</v>
      </c>
    </row>
    <row r="126" spans="1:11" x14ac:dyDescent="0.25">
      <c r="A126" s="32">
        <v>41275</v>
      </c>
      <c r="B126" s="33">
        <f>AVERAGE(Dados!B122:B127)</f>
        <v>144.36666666666667</v>
      </c>
      <c r="C126" s="33">
        <f>AVERAGE(Dados!C122:C127)</f>
        <v>141.80666666666667</v>
      </c>
      <c r="D126" s="33">
        <f>AVERAGE(Dados!D122:D127)</f>
        <v>153.685</v>
      </c>
      <c r="E126" s="33">
        <f>AVERAGE(Dados!E122:E127)</f>
        <v>139.785</v>
      </c>
      <c r="F126" s="33">
        <f>AVERAGE(Dados!F122:F127)</f>
        <v>153.11499999999998</v>
      </c>
      <c r="G126" s="33">
        <f>AVERAGE(Dados!G122:G127)</f>
        <v>134.57500000000002</v>
      </c>
      <c r="H126" s="33">
        <f>AVERAGE(Dados!H122:H127)</f>
        <v>141.95000000000002</v>
      </c>
      <c r="I126" s="33">
        <f>AVERAGE(Dados!I122:I127)</f>
        <v>132.93166666666664</v>
      </c>
      <c r="J126" s="33">
        <f>AVERAGE(Dados!J122:J127)</f>
        <v>147.51333333333332</v>
      </c>
      <c r="K126" s="33">
        <f>AVERAGE(Dados!K122:K127)</f>
        <v>142.035</v>
      </c>
    </row>
    <row r="127" spans="1:11" x14ac:dyDescent="0.25">
      <c r="A127" s="32">
        <v>41306</v>
      </c>
      <c r="B127" s="33">
        <f>AVERAGE(Dados!B123:B128)</f>
        <v>144.31333333333336</v>
      </c>
      <c r="C127" s="33">
        <f>AVERAGE(Dados!C123:C128)</f>
        <v>141.59166666666667</v>
      </c>
      <c r="D127" s="33">
        <f>AVERAGE(Dados!D123:D128)</f>
        <v>153.91999999999999</v>
      </c>
      <c r="E127" s="33">
        <f>AVERAGE(Dados!E123:E128)</f>
        <v>140.17333333333335</v>
      </c>
      <c r="F127" s="33">
        <f>AVERAGE(Dados!F123:F128)</f>
        <v>153.40333333333334</v>
      </c>
      <c r="G127" s="33">
        <f>AVERAGE(Dados!G123:G128)</f>
        <v>135.25833333333335</v>
      </c>
      <c r="H127" s="33">
        <f>AVERAGE(Dados!H123:H128)</f>
        <v>141.95833333333331</v>
      </c>
      <c r="I127" s="33">
        <f>AVERAGE(Dados!I123:I128)</f>
        <v>132.99666666666667</v>
      </c>
      <c r="J127" s="33">
        <f>AVERAGE(Dados!J123:J128)</f>
        <v>148.03333333333333</v>
      </c>
      <c r="K127" s="33">
        <f>AVERAGE(Dados!K123:K128)</f>
        <v>142.90833333333333</v>
      </c>
    </row>
    <row r="128" spans="1:11" x14ac:dyDescent="0.25">
      <c r="A128" s="32">
        <v>41334</v>
      </c>
      <c r="B128" s="33">
        <f>AVERAGE(Dados!B124:B129)</f>
        <v>144.55000000000004</v>
      </c>
      <c r="C128" s="33">
        <f>AVERAGE(Dados!C124:C129)</f>
        <v>141.83666666666667</v>
      </c>
      <c r="D128" s="33">
        <f>AVERAGE(Dados!D124:D129)</f>
        <v>154.43666666666667</v>
      </c>
      <c r="E128" s="33">
        <f>AVERAGE(Dados!E124:E129)</f>
        <v>140.36333333333334</v>
      </c>
      <c r="F128" s="33">
        <f>AVERAGE(Dados!F124:F129)</f>
        <v>153.94833333333332</v>
      </c>
      <c r="G128" s="33">
        <f>AVERAGE(Dados!G124:G129)</f>
        <v>136.57500000000002</v>
      </c>
      <c r="H128" s="33">
        <f>AVERAGE(Dados!H124:H129)</f>
        <v>142.34333333333333</v>
      </c>
      <c r="I128" s="33">
        <f>AVERAGE(Dados!I124:I129)</f>
        <v>133.36166666666665</v>
      </c>
      <c r="J128" s="33">
        <f>AVERAGE(Dados!J124:J129)</f>
        <v>149.01000000000002</v>
      </c>
      <c r="K128" s="33">
        <f>AVERAGE(Dados!K124:K129)</f>
        <v>143.56999999999996</v>
      </c>
    </row>
    <row r="129" spans="1:11" x14ac:dyDescent="0.25">
      <c r="A129" s="32">
        <v>41365</v>
      </c>
      <c r="B129" s="33">
        <f>AVERAGE(Dados!B125:B130)</f>
        <v>144.81666666666669</v>
      </c>
      <c r="C129" s="33">
        <f>AVERAGE(Dados!C125:C130)</f>
        <v>141.89499999999998</v>
      </c>
      <c r="D129" s="33">
        <f>AVERAGE(Dados!D125:D130)</f>
        <v>154.93833333333336</v>
      </c>
      <c r="E129" s="33">
        <f>AVERAGE(Dados!E125:E130)</f>
        <v>140.73166666666665</v>
      </c>
      <c r="F129" s="33">
        <f>AVERAGE(Dados!F125:F130)</f>
        <v>154.24999999999997</v>
      </c>
      <c r="G129" s="33">
        <f>AVERAGE(Dados!G125:G130)</f>
        <v>138.26000000000002</v>
      </c>
      <c r="H129" s="33">
        <f>AVERAGE(Dados!H125:H130)</f>
        <v>143.1</v>
      </c>
      <c r="I129" s="33">
        <f>AVERAGE(Dados!I125:I130)</f>
        <v>133.55666666666667</v>
      </c>
      <c r="J129" s="33">
        <f>AVERAGE(Dados!J125:J130)</f>
        <v>150.05333333333334</v>
      </c>
      <c r="K129" s="33">
        <f>AVERAGE(Dados!K125:K130)</f>
        <v>144.01833333333332</v>
      </c>
    </row>
    <row r="130" spans="1:11" x14ac:dyDescent="0.25">
      <c r="A130" s="32">
        <v>41395</v>
      </c>
      <c r="B130" s="33">
        <f>AVERAGE(Dados!B126:B131)</f>
        <v>145.25666666666666</v>
      </c>
      <c r="C130" s="33">
        <f>AVERAGE(Dados!C126:C131)</f>
        <v>142.07500000000002</v>
      </c>
      <c r="D130" s="33">
        <f>AVERAGE(Dados!D126:D131)</f>
        <v>155.47666666666666</v>
      </c>
      <c r="E130" s="33">
        <f>AVERAGE(Dados!E126:E131)</f>
        <v>140.81000000000003</v>
      </c>
      <c r="F130" s="33">
        <f>AVERAGE(Dados!F126:F131)</f>
        <v>154.54833333333332</v>
      </c>
      <c r="G130" s="33">
        <f>AVERAGE(Dados!G126:G131)</f>
        <v>138.78833333333333</v>
      </c>
      <c r="H130" s="33">
        <f>AVERAGE(Dados!H126:H131)</f>
        <v>143.78833333333333</v>
      </c>
      <c r="I130" s="33">
        <f>AVERAGE(Dados!I126:I131)</f>
        <v>133.69333333333333</v>
      </c>
      <c r="J130" s="33">
        <f>AVERAGE(Dados!J126:J131)</f>
        <v>150.90166666666667</v>
      </c>
      <c r="K130" s="33">
        <f>AVERAGE(Dados!K126:K131)</f>
        <v>144.38000000000002</v>
      </c>
    </row>
    <row r="131" spans="1:11" x14ac:dyDescent="0.25">
      <c r="A131" s="32">
        <v>41426</v>
      </c>
      <c r="B131" s="33">
        <f>AVERAGE(Dados!B127:B132)</f>
        <v>145.60333333333332</v>
      </c>
      <c r="C131" s="33">
        <f>AVERAGE(Dados!C127:C132)</f>
        <v>142.85166666666666</v>
      </c>
      <c r="D131" s="33">
        <f>AVERAGE(Dados!D127:D132)</f>
        <v>156.05833333333334</v>
      </c>
      <c r="E131" s="33">
        <f>AVERAGE(Dados!E127:E132)</f>
        <v>141.16666666666669</v>
      </c>
      <c r="F131" s="33">
        <f>AVERAGE(Dados!F127:F132)</f>
        <v>154.85</v>
      </c>
      <c r="G131" s="33">
        <f>AVERAGE(Dados!G127:G132)</f>
        <v>139.51166666666668</v>
      </c>
      <c r="H131" s="33">
        <f>AVERAGE(Dados!H127:H132)</f>
        <v>144.86833333333334</v>
      </c>
      <c r="I131" s="33">
        <f>AVERAGE(Dados!I127:I132)</f>
        <v>133.60833333333332</v>
      </c>
      <c r="J131" s="33">
        <f>AVERAGE(Dados!J127:J132)</f>
        <v>151.59666666666666</v>
      </c>
      <c r="K131" s="33">
        <f>AVERAGE(Dados!K127:K132)</f>
        <v>144.69500000000002</v>
      </c>
    </row>
    <row r="132" spans="1:11" x14ac:dyDescent="0.25">
      <c r="A132" s="32">
        <v>41456</v>
      </c>
      <c r="B132" s="33">
        <f>AVERAGE(Dados!B128:B133)</f>
        <v>145.93333333333331</v>
      </c>
      <c r="C132" s="33">
        <f>AVERAGE(Dados!C128:C133)</f>
        <v>143.30000000000001</v>
      </c>
      <c r="D132" s="33">
        <f>AVERAGE(Dados!D128:D133)</f>
        <v>155.92833333333331</v>
      </c>
      <c r="E132" s="33">
        <f>AVERAGE(Dados!E128:E133)</f>
        <v>141.20666666666668</v>
      </c>
      <c r="F132" s="33">
        <f>AVERAGE(Dados!F128:F133)</f>
        <v>155.07500000000002</v>
      </c>
      <c r="G132" s="33">
        <f>AVERAGE(Dados!G128:G133)</f>
        <v>139.94666666666666</v>
      </c>
      <c r="H132" s="33">
        <f>AVERAGE(Dados!H128:H133)</f>
        <v>145.82833333333335</v>
      </c>
      <c r="I132" s="33">
        <f>AVERAGE(Dados!I128:I133)</f>
        <v>133.54499999999999</v>
      </c>
      <c r="J132" s="33">
        <f>AVERAGE(Dados!J128:J133)</f>
        <v>152.30166666666665</v>
      </c>
      <c r="K132" s="33">
        <f>AVERAGE(Dados!K128:K133)</f>
        <v>145.10333333333332</v>
      </c>
    </row>
    <row r="133" spans="1:11" x14ac:dyDescent="0.25">
      <c r="A133" s="32">
        <v>41487</v>
      </c>
      <c r="B133" s="33">
        <f>AVERAGE(Dados!B129:B134)</f>
        <v>146.42333333333332</v>
      </c>
      <c r="C133" s="33">
        <f>AVERAGE(Dados!C129:C134)</f>
        <v>143.5516666666667</v>
      </c>
      <c r="D133" s="33">
        <f>AVERAGE(Dados!D129:D134)</f>
        <v>156.17166666666665</v>
      </c>
      <c r="E133" s="33">
        <f>AVERAGE(Dados!E129:E134)</f>
        <v>141.4</v>
      </c>
      <c r="F133" s="33">
        <f>AVERAGE(Dados!F129:F134)</f>
        <v>155.19833333333335</v>
      </c>
      <c r="G133" s="33">
        <f>AVERAGE(Dados!G129:G134)</f>
        <v>139.64666666666668</v>
      </c>
      <c r="H133" s="33">
        <f>AVERAGE(Dados!H129:H134)</f>
        <v>146.58666666666667</v>
      </c>
      <c r="I133" s="33">
        <f>AVERAGE(Dados!I129:I134)</f>
        <v>133.50333333333333</v>
      </c>
      <c r="J133" s="33">
        <f>AVERAGE(Dados!J129:J134)</f>
        <v>152.48500000000001</v>
      </c>
      <c r="K133" s="33">
        <f>AVERAGE(Dados!K129:K134)</f>
        <v>145.86166666666665</v>
      </c>
    </row>
    <row r="134" spans="1:11" x14ac:dyDescent="0.25">
      <c r="A134" s="32">
        <v>41518</v>
      </c>
      <c r="B134" s="33">
        <f>AVERAGE(Dados!B130:B135)</f>
        <v>146.96666666666667</v>
      </c>
      <c r="C134" s="33">
        <f>AVERAGE(Dados!C130:C135)</f>
        <v>143.85500000000002</v>
      </c>
      <c r="D134" s="33">
        <f>AVERAGE(Dados!D130:D135)</f>
        <v>156.035</v>
      </c>
      <c r="E134" s="33">
        <f>AVERAGE(Dados!E130:E135)</f>
        <v>141.94666666666666</v>
      </c>
      <c r="F134" s="33">
        <f>AVERAGE(Dados!F130:F135)</f>
        <v>155.42833333333331</v>
      </c>
      <c r="G134" s="33">
        <f>AVERAGE(Dados!G130:G135)</f>
        <v>139.48166666666668</v>
      </c>
      <c r="H134" s="33">
        <f>AVERAGE(Dados!H130:H135)</f>
        <v>147.45500000000001</v>
      </c>
      <c r="I134" s="33">
        <f>AVERAGE(Dados!I130:I135)</f>
        <v>133.77000000000001</v>
      </c>
      <c r="J134" s="33">
        <f>AVERAGE(Dados!J130:J135)</f>
        <v>152.51666666666668</v>
      </c>
      <c r="K134" s="33">
        <f>AVERAGE(Dados!K130:K135)</f>
        <v>146.435</v>
      </c>
    </row>
    <row r="135" spans="1:11" x14ac:dyDescent="0.25">
      <c r="A135" s="32">
        <v>41548</v>
      </c>
      <c r="B135" s="33">
        <f>AVERAGE(Dados!B131:B136)</f>
        <v>147.22333333333333</v>
      </c>
      <c r="C135" s="33">
        <f>AVERAGE(Dados!C131:C136)</f>
        <v>143.87333333333333</v>
      </c>
      <c r="D135" s="33">
        <f>AVERAGE(Dados!D131:D136)</f>
        <v>155.91</v>
      </c>
      <c r="E135" s="33">
        <f>AVERAGE(Dados!E131:E136)</f>
        <v>142.35166666666666</v>
      </c>
      <c r="F135" s="33">
        <f>AVERAGE(Dados!F131:F136)</f>
        <v>155.38</v>
      </c>
      <c r="G135" s="33">
        <f>AVERAGE(Dados!G131:G136)</f>
        <v>138.99166666666667</v>
      </c>
      <c r="H135" s="33">
        <f>AVERAGE(Dados!H131:H136)</f>
        <v>147.95500000000001</v>
      </c>
      <c r="I135" s="33">
        <f>AVERAGE(Dados!I131:I136)</f>
        <v>133.85499999999999</v>
      </c>
      <c r="J135" s="33">
        <f>AVERAGE(Dados!J131:J136)</f>
        <v>152.35333333333332</v>
      </c>
      <c r="K135" s="33">
        <f>AVERAGE(Dados!K131:K136)</f>
        <v>146.60166666666666</v>
      </c>
    </row>
    <row r="136" spans="1:11" x14ac:dyDescent="0.25">
      <c r="A136" s="32">
        <v>41579</v>
      </c>
      <c r="B136" s="33">
        <f>AVERAGE(Dados!B132:B137)</f>
        <v>147.40166666666667</v>
      </c>
      <c r="C136" s="33">
        <f>AVERAGE(Dados!C132:C137)</f>
        <v>143.96833333333333</v>
      </c>
      <c r="D136" s="33">
        <f>AVERAGE(Dados!D132:D137)</f>
        <v>155.63666666666668</v>
      </c>
      <c r="E136" s="33">
        <f>AVERAGE(Dados!E132:E137)</f>
        <v>142.68499999999997</v>
      </c>
      <c r="F136" s="33">
        <f>AVERAGE(Dados!F132:F137)</f>
        <v>155.66833333333332</v>
      </c>
      <c r="G136" s="33">
        <f>AVERAGE(Dados!G132:G137)</f>
        <v>139.49833333333333</v>
      </c>
      <c r="H136" s="33">
        <f>AVERAGE(Dados!H132:H137)</f>
        <v>148.47</v>
      </c>
      <c r="I136" s="33">
        <f>AVERAGE(Dados!I132:I137)</f>
        <v>134.02666666666667</v>
      </c>
      <c r="J136" s="33">
        <f>AVERAGE(Dados!J132:J137)</f>
        <v>152.65333333333334</v>
      </c>
      <c r="K136" s="33">
        <f>AVERAGE(Dados!K132:K137)</f>
        <v>146.94833333333335</v>
      </c>
    </row>
    <row r="137" spans="1:11" x14ac:dyDescent="0.25">
      <c r="A137" s="32">
        <v>41609</v>
      </c>
      <c r="B137" s="33">
        <f>AVERAGE(Dados!B133:B138)</f>
        <v>147.80833333333331</v>
      </c>
      <c r="C137" s="33">
        <f>AVERAGE(Dados!C133:C138)</f>
        <v>143.16499999999999</v>
      </c>
      <c r="D137" s="33">
        <f>AVERAGE(Dados!D133:D138)</f>
        <v>155.91333333333333</v>
      </c>
      <c r="E137" s="33">
        <f>AVERAGE(Dados!E133:E138)</f>
        <v>142.77833333333334</v>
      </c>
      <c r="F137" s="33">
        <f>AVERAGE(Dados!F133:F138)</f>
        <v>155.41166666666666</v>
      </c>
      <c r="G137" s="33">
        <f>AVERAGE(Dados!G133:G138)</f>
        <v>139.63166666666669</v>
      </c>
      <c r="H137" s="33">
        <f>AVERAGE(Dados!H133:H138)</f>
        <v>148.30833333333334</v>
      </c>
      <c r="I137" s="33">
        <f>AVERAGE(Dados!I133:I138)</f>
        <v>134.08166666666668</v>
      </c>
      <c r="J137" s="33">
        <f>AVERAGE(Dados!J133:J138)</f>
        <v>152.80500000000001</v>
      </c>
      <c r="K137" s="33">
        <f>AVERAGE(Dados!K133:K138)</f>
        <v>147.03</v>
      </c>
    </row>
    <row r="138" spans="1:11" x14ac:dyDescent="0.25">
      <c r="A138" s="32">
        <v>41640</v>
      </c>
      <c r="B138" s="33">
        <f>AVERAGE(Dados!B134:B139)</f>
        <v>148.0566666666667</v>
      </c>
      <c r="C138" s="33">
        <f>AVERAGE(Dados!C134:C139)</f>
        <v>143.39666666666668</v>
      </c>
      <c r="D138" s="33">
        <f>AVERAGE(Dados!D134:D139)</f>
        <v>156.74000000000004</v>
      </c>
      <c r="E138" s="33">
        <f>AVERAGE(Dados!E134:E139)</f>
        <v>143.01833333333332</v>
      </c>
      <c r="F138" s="33">
        <f>AVERAGE(Dados!F134:F139)</f>
        <v>155.45666666666668</v>
      </c>
      <c r="G138" s="33">
        <f>AVERAGE(Dados!G134:G139)</f>
        <v>140.23333333333335</v>
      </c>
      <c r="H138" s="33">
        <f>AVERAGE(Dados!H134:H139)</f>
        <v>148.26666666666668</v>
      </c>
      <c r="I138" s="33">
        <f>AVERAGE(Dados!I134:I139)</f>
        <v>134.42666666666665</v>
      </c>
      <c r="J138" s="33">
        <f>AVERAGE(Dados!J134:J139)</f>
        <v>153.17166666666665</v>
      </c>
      <c r="K138" s="33">
        <f>AVERAGE(Dados!K134:K139)</f>
        <v>147.40833333333333</v>
      </c>
    </row>
    <row r="139" spans="1:11" x14ac:dyDescent="0.25">
      <c r="A139" s="32">
        <v>41671</v>
      </c>
      <c r="B139" s="33">
        <f>AVERAGE(Dados!B135:B140)</f>
        <v>148.215</v>
      </c>
      <c r="C139" s="33">
        <f>AVERAGE(Dados!C135:C140)</f>
        <v>143.70499999999998</v>
      </c>
      <c r="D139" s="33">
        <f>AVERAGE(Dados!D135:D140)</f>
        <v>157.09</v>
      </c>
      <c r="E139" s="33">
        <f>AVERAGE(Dados!E135:E140)</f>
        <v>143.44166666666663</v>
      </c>
      <c r="F139" s="33">
        <f>AVERAGE(Dados!F135:F140)</f>
        <v>155.45333333333335</v>
      </c>
      <c r="G139" s="33">
        <f>AVERAGE(Dados!G135:G140)</f>
        <v>140.90166666666667</v>
      </c>
      <c r="H139" s="33">
        <f>AVERAGE(Dados!H135:H140)</f>
        <v>148.47666666666669</v>
      </c>
      <c r="I139" s="33">
        <f>AVERAGE(Dados!I135:I140)</f>
        <v>134.86166666666665</v>
      </c>
      <c r="J139" s="33">
        <f>AVERAGE(Dados!J135:J140)</f>
        <v>153.38666666666666</v>
      </c>
      <c r="K139" s="33">
        <f>AVERAGE(Dados!K135:K140)</f>
        <v>147.51166666666668</v>
      </c>
    </row>
    <row r="140" spans="1:11" x14ac:dyDescent="0.25">
      <c r="A140" s="32">
        <v>41699</v>
      </c>
      <c r="B140" s="33">
        <f>AVERAGE(Dados!B136:B141)</f>
        <v>148.18499999999997</v>
      </c>
      <c r="C140" s="33">
        <f>AVERAGE(Dados!C136:C141)</f>
        <v>143.965</v>
      </c>
      <c r="D140" s="33">
        <f>AVERAGE(Dados!D136:D141)</f>
        <v>157.80333333333334</v>
      </c>
      <c r="E140" s="33">
        <f>AVERAGE(Dados!E136:E141)</f>
        <v>143.52666666666667</v>
      </c>
      <c r="F140" s="33">
        <f>AVERAGE(Dados!F136:F141)</f>
        <v>155.20333333333335</v>
      </c>
      <c r="G140" s="33">
        <f>AVERAGE(Dados!G136:G141)</f>
        <v>140.09</v>
      </c>
      <c r="H140" s="33">
        <f>AVERAGE(Dados!H136:H141)</f>
        <v>148.54</v>
      </c>
      <c r="I140" s="33">
        <f>AVERAGE(Dados!I136:I141)</f>
        <v>135.30666666666664</v>
      </c>
      <c r="J140" s="33">
        <f>AVERAGE(Dados!J136:J141)</f>
        <v>153.345</v>
      </c>
      <c r="K140" s="33">
        <f>AVERAGE(Dados!K136:K141)</f>
        <v>147.71</v>
      </c>
    </row>
    <row r="141" spans="1:11" x14ac:dyDescent="0.25">
      <c r="A141" s="32">
        <v>41730</v>
      </c>
      <c r="B141" s="33">
        <f>AVERAGE(Dados!B137:B142)</f>
        <v>148.08500000000001</v>
      </c>
      <c r="C141" s="33">
        <f>AVERAGE(Dados!C137:C142)</f>
        <v>144.065</v>
      </c>
      <c r="D141" s="33">
        <f>AVERAGE(Dados!D137:D142)</f>
        <v>158.245</v>
      </c>
      <c r="E141" s="33">
        <f>AVERAGE(Dados!E137:E142)</f>
        <v>143.57500000000002</v>
      </c>
      <c r="F141" s="33">
        <f>AVERAGE(Dados!F137:F142)</f>
        <v>155.31166666666667</v>
      </c>
      <c r="G141" s="33">
        <f>AVERAGE(Dados!G137:G142)</f>
        <v>138.48833333333334</v>
      </c>
      <c r="H141" s="33">
        <f>AVERAGE(Dados!H137:H142)</f>
        <v>148.42499999999998</v>
      </c>
      <c r="I141" s="33">
        <f>AVERAGE(Dados!I137:I142)</f>
        <v>135.40666666666667</v>
      </c>
      <c r="J141" s="33">
        <f>AVERAGE(Dados!J137:J142)</f>
        <v>152.98166666666665</v>
      </c>
      <c r="K141" s="33">
        <f>AVERAGE(Dados!K137:K142)</f>
        <v>148.58000000000001</v>
      </c>
    </row>
    <row r="142" spans="1:11" x14ac:dyDescent="0.25">
      <c r="A142" s="32">
        <v>41760</v>
      </c>
      <c r="B142" s="33">
        <f>AVERAGE(Dados!B138:B143)</f>
        <v>147.77833333333334</v>
      </c>
      <c r="C142" s="33">
        <f>AVERAGE(Dados!C138:C143)</f>
        <v>143.75333333333333</v>
      </c>
      <c r="D142" s="33">
        <f>AVERAGE(Dados!D138:D143)</f>
        <v>159.00666666666669</v>
      </c>
      <c r="E142" s="33">
        <f>AVERAGE(Dados!E138:E143)</f>
        <v>143.92166666666665</v>
      </c>
      <c r="F142" s="33">
        <f>AVERAGE(Dados!F138:F143)</f>
        <v>155.23833333333332</v>
      </c>
      <c r="G142" s="33">
        <f>AVERAGE(Dados!G138:G143)</f>
        <v>138.09833333333333</v>
      </c>
      <c r="H142" s="33">
        <f>AVERAGE(Dados!H138:H143)</f>
        <v>148.75833333333335</v>
      </c>
      <c r="I142" s="33">
        <f>AVERAGE(Dados!I138:I143)</f>
        <v>135.38999999999999</v>
      </c>
      <c r="J142" s="33">
        <f>AVERAGE(Dados!J138:J143)</f>
        <v>152.67166666666668</v>
      </c>
      <c r="K142" s="33">
        <f>AVERAGE(Dados!K138:K143)</f>
        <v>149.09666666666666</v>
      </c>
    </row>
    <row r="143" spans="1:11" x14ac:dyDescent="0.25">
      <c r="A143" s="32">
        <v>41791</v>
      </c>
      <c r="B143" s="33">
        <f>AVERAGE(Dados!B139:B144)</f>
        <v>146.96166666666667</v>
      </c>
      <c r="C143" s="33">
        <f>AVERAGE(Dados!C139:C144)</f>
        <v>143.71833333333333</v>
      </c>
      <c r="D143" s="33">
        <f>AVERAGE(Dados!D139:D144)</f>
        <v>158.655</v>
      </c>
      <c r="E143" s="33">
        <f>AVERAGE(Dados!E139:E144)</f>
        <v>143.99833333333331</v>
      </c>
      <c r="F143" s="33">
        <f>AVERAGE(Dados!F139:F144)</f>
        <v>155.15666666666667</v>
      </c>
      <c r="G143" s="33">
        <f>AVERAGE(Dados!G139:G144)</f>
        <v>138.08666666666667</v>
      </c>
      <c r="H143" s="33">
        <f>AVERAGE(Dados!H139:H144)</f>
        <v>148.55000000000001</v>
      </c>
      <c r="I143" s="33">
        <f>AVERAGE(Dados!I139:I144)</f>
        <v>135.58833333333334</v>
      </c>
      <c r="J143" s="33">
        <f>AVERAGE(Dados!J139:J144)</f>
        <v>151.93333333333337</v>
      </c>
      <c r="K143" s="33">
        <f>AVERAGE(Dados!K139:K144)</f>
        <v>149.70000000000002</v>
      </c>
    </row>
    <row r="144" spans="1:11" x14ac:dyDescent="0.25">
      <c r="A144" s="32">
        <v>41821</v>
      </c>
      <c r="B144" s="33">
        <f>AVERAGE(Dados!B140:B145)</f>
        <v>146.33000000000001</v>
      </c>
      <c r="C144" s="33">
        <f>AVERAGE(Dados!C140:C145)</f>
        <v>142.47833333333332</v>
      </c>
      <c r="D144" s="33">
        <f>AVERAGE(Dados!D140:D145)</f>
        <v>157.86333333333334</v>
      </c>
      <c r="E144" s="33">
        <f>AVERAGE(Dados!E140:E145)</f>
        <v>144.60666666666668</v>
      </c>
      <c r="F144" s="33">
        <f>AVERAGE(Dados!F140:F145)</f>
        <v>154.92166666666665</v>
      </c>
      <c r="G144" s="33">
        <f>AVERAGE(Dados!G140:G145)</f>
        <v>137.72833333333332</v>
      </c>
      <c r="H144" s="33">
        <f>AVERAGE(Dados!H140:H145)</f>
        <v>148.76666666666668</v>
      </c>
      <c r="I144" s="33">
        <f>AVERAGE(Dados!I140:I145)</f>
        <v>135.64166666666665</v>
      </c>
      <c r="J144" s="33">
        <f>AVERAGE(Dados!J140:J145)</f>
        <v>151.14333333333335</v>
      </c>
      <c r="K144" s="33">
        <f>AVERAGE(Dados!K140:K145)</f>
        <v>149.97333333333333</v>
      </c>
    </row>
    <row r="145" spans="1:11" x14ac:dyDescent="0.25">
      <c r="A145" s="32">
        <v>41852</v>
      </c>
      <c r="B145" s="33">
        <f>AVERAGE(Dados!B141:B146)</f>
        <v>145.94166666666666</v>
      </c>
      <c r="C145" s="33">
        <f>AVERAGE(Dados!C141:C146)</f>
        <v>142.12833333333333</v>
      </c>
      <c r="D145" s="33">
        <f>AVERAGE(Dados!D141:D146)</f>
        <v>157.74333333333334</v>
      </c>
      <c r="E145" s="33">
        <f>AVERAGE(Dados!E141:E146)</f>
        <v>145.38</v>
      </c>
      <c r="F145" s="33">
        <f>AVERAGE(Dados!F141:F146)</f>
        <v>154.66833333333332</v>
      </c>
      <c r="G145" s="33">
        <f>AVERAGE(Dados!G141:G146)</f>
        <v>137.74499999999998</v>
      </c>
      <c r="H145" s="33">
        <f>AVERAGE(Dados!H141:H146)</f>
        <v>148.86500000000001</v>
      </c>
      <c r="I145" s="33">
        <f>AVERAGE(Dados!I141:I146)</f>
        <v>135.63833333333335</v>
      </c>
      <c r="J145" s="33">
        <f>AVERAGE(Dados!J141:J146)</f>
        <v>150.99666666666667</v>
      </c>
      <c r="K145" s="33">
        <f>AVERAGE(Dados!K141:K146)</f>
        <v>150.12166666666667</v>
      </c>
    </row>
    <row r="146" spans="1:11" x14ac:dyDescent="0.25">
      <c r="A146" s="32">
        <v>41883</v>
      </c>
      <c r="B146" s="33">
        <f>AVERAGE(Dados!B142:B147)</f>
        <v>145.58666666666667</v>
      </c>
      <c r="C146" s="33">
        <f>AVERAGE(Dados!C142:C147)</f>
        <v>141.92333333333332</v>
      </c>
      <c r="D146" s="33">
        <f>AVERAGE(Dados!D142:D147)</f>
        <v>157.72833333333332</v>
      </c>
      <c r="E146" s="33">
        <f>AVERAGE(Dados!E142:E147)</f>
        <v>146.27000000000001</v>
      </c>
      <c r="F146" s="33">
        <f>AVERAGE(Dados!F142:F147)</f>
        <v>154.565</v>
      </c>
      <c r="G146" s="33">
        <f>AVERAGE(Dados!G142:G147)</f>
        <v>139.35166666666666</v>
      </c>
      <c r="H146" s="33">
        <f>AVERAGE(Dados!H142:H147)</f>
        <v>149.38500000000002</v>
      </c>
      <c r="I146" s="33">
        <f>AVERAGE(Dados!I142:I147)</f>
        <v>135.41666666666666</v>
      </c>
      <c r="J146" s="33">
        <f>AVERAGE(Dados!J142:J147)</f>
        <v>151.28166666666667</v>
      </c>
      <c r="K146" s="33">
        <f>AVERAGE(Dados!K142:K147)</f>
        <v>150.34666666666666</v>
      </c>
    </row>
    <row r="147" spans="1:11" x14ac:dyDescent="0.25">
      <c r="A147" s="32">
        <v>41913</v>
      </c>
      <c r="B147" s="33">
        <f>AVERAGE(Dados!B143:B148)</f>
        <v>145.20499999999998</v>
      </c>
      <c r="C147" s="33">
        <f>AVERAGE(Dados!C143:C148)</f>
        <v>141.7833333333333</v>
      </c>
      <c r="D147" s="33">
        <f>AVERAGE(Dados!D143:D148)</f>
        <v>157.61166666666665</v>
      </c>
      <c r="E147" s="33">
        <f>AVERAGE(Dados!E143:E148)</f>
        <v>146.51833333333332</v>
      </c>
      <c r="F147" s="33">
        <f>AVERAGE(Dados!F143:F148)</f>
        <v>154.4</v>
      </c>
      <c r="G147" s="33">
        <f>AVERAGE(Dados!G143:G148)</f>
        <v>141.47666666666666</v>
      </c>
      <c r="H147" s="33">
        <f>AVERAGE(Dados!H143:H148)</f>
        <v>149.97999999999999</v>
      </c>
      <c r="I147" s="33">
        <f>AVERAGE(Dados!I143:I148)</f>
        <v>135.63166666666669</v>
      </c>
      <c r="J147" s="33">
        <f>AVERAGE(Dados!J143:J148)</f>
        <v>152.095</v>
      </c>
      <c r="K147" s="33">
        <f>AVERAGE(Dados!K143:K148)</f>
        <v>150.23166666666665</v>
      </c>
    </row>
    <row r="148" spans="1:11" x14ac:dyDescent="0.25">
      <c r="A148" s="32">
        <v>41944</v>
      </c>
      <c r="B148" s="33">
        <f>AVERAGE(Dados!B144:B149)</f>
        <v>145.04</v>
      </c>
      <c r="C148" s="33">
        <f>AVERAGE(Dados!C144:C149)</f>
        <v>141.84833333333333</v>
      </c>
      <c r="D148" s="33">
        <f>AVERAGE(Dados!D144:D149)</f>
        <v>157.315</v>
      </c>
      <c r="E148" s="33">
        <f>AVERAGE(Dados!E144:E149)</f>
        <v>146.45499999999998</v>
      </c>
      <c r="F148" s="33">
        <f>AVERAGE(Dados!F144:F149)</f>
        <v>154.05666666666667</v>
      </c>
      <c r="G148" s="33">
        <f>AVERAGE(Dados!G144:G149)</f>
        <v>142.09333333333333</v>
      </c>
      <c r="H148" s="33">
        <f>AVERAGE(Dados!H144:H149)</f>
        <v>149.98500000000001</v>
      </c>
      <c r="I148" s="33">
        <f>AVERAGE(Dados!I144:I149)</f>
        <v>135.94</v>
      </c>
      <c r="J148" s="33">
        <f>AVERAGE(Dados!J144:J149)</f>
        <v>152.64666666666668</v>
      </c>
      <c r="K148" s="33">
        <f>AVERAGE(Dados!K144:K149)</f>
        <v>150.29166666666666</v>
      </c>
    </row>
    <row r="149" spans="1:11" x14ac:dyDescent="0.25">
      <c r="A149" s="32">
        <v>41974</v>
      </c>
      <c r="B149" s="33">
        <f>AVERAGE(Dados!B145:B150)</f>
        <v>145.47666666666666</v>
      </c>
      <c r="C149" s="33">
        <f>AVERAGE(Dados!C145:C150)</f>
        <v>141.8016666666667</v>
      </c>
      <c r="D149" s="33">
        <f>AVERAGE(Dados!D145:D150)</f>
        <v>157.52000000000001</v>
      </c>
      <c r="E149" s="33">
        <f>AVERAGE(Dados!E145:E150)</f>
        <v>146.91166666666666</v>
      </c>
      <c r="F149" s="33">
        <f>AVERAGE(Dados!F145:F150)</f>
        <v>153.82333333333335</v>
      </c>
      <c r="G149" s="33">
        <f>AVERAGE(Dados!G145:G150)</f>
        <v>142.20500000000001</v>
      </c>
      <c r="H149" s="33">
        <f>AVERAGE(Dados!H145:H150)</f>
        <v>150.32166666666669</v>
      </c>
      <c r="I149" s="33">
        <f>AVERAGE(Dados!I145:I150)</f>
        <v>136.155</v>
      </c>
      <c r="J149" s="33">
        <f>AVERAGE(Dados!J145:J150)</f>
        <v>153.86499999999998</v>
      </c>
      <c r="K149" s="33">
        <f>AVERAGE(Dados!K145:K150)</f>
        <v>150.26500000000001</v>
      </c>
    </row>
    <row r="150" spans="1:11" x14ac:dyDescent="0.25">
      <c r="A150" s="32">
        <v>42005</v>
      </c>
      <c r="B150" s="33">
        <f>AVERAGE(Dados!B146:B151)</f>
        <v>145.57500000000002</v>
      </c>
      <c r="C150" s="33">
        <f>AVERAGE(Dados!C146:C151)</f>
        <v>142.44833333333332</v>
      </c>
      <c r="D150" s="33">
        <f>AVERAGE(Dados!D146:D151)</f>
        <v>158.44499999999999</v>
      </c>
      <c r="E150" s="33">
        <f>AVERAGE(Dados!E146:E151)</f>
        <v>146.60166666666666</v>
      </c>
      <c r="F150" s="33">
        <f>AVERAGE(Dados!F146:F151)</f>
        <v>153.81333333333333</v>
      </c>
      <c r="G150" s="33">
        <f>AVERAGE(Dados!G146:G151)</f>
        <v>141.80333333333334</v>
      </c>
      <c r="H150" s="33">
        <f>AVERAGE(Dados!H146:H151)</f>
        <v>150.21833333333333</v>
      </c>
      <c r="I150" s="33">
        <f>AVERAGE(Dados!I146:I151)</f>
        <v>136.51333333333335</v>
      </c>
      <c r="J150" s="33">
        <f>AVERAGE(Dados!J146:J151)</f>
        <v>154.27666666666667</v>
      </c>
      <c r="K150" s="33">
        <f>AVERAGE(Dados!K146:K151)</f>
        <v>149.92666666666668</v>
      </c>
    </row>
    <row r="151" spans="1:11" x14ac:dyDescent="0.25">
      <c r="A151" s="32">
        <v>42036</v>
      </c>
      <c r="B151" s="33">
        <f>AVERAGE(Dados!B147:B152)</f>
        <v>145.41666666666666</v>
      </c>
      <c r="C151" s="33">
        <f>AVERAGE(Dados!C147:C152)</f>
        <v>142.31833333333333</v>
      </c>
      <c r="D151" s="33">
        <f>AVERAGE(Dados!D147:D152)</f>
        <v>158.84833333333333</v>
      </c>
      <c r="E151" s="33">
        <f>AVERAGE(Dados!E147:E152)</f>
        <v>145.82666666666665</v>
      </c>
      <c r="F151" s="33">
        <f>AVERAGE(Dados!F147:F152)</f>
        <v>154.065</v>
      </c>
      <c r="G151" s="33">
        <f>AVERAGE(Dados!G147:G152)</f>
        <v>141.28666666666666</v>
      </c>
      <c r="H151" s="33">
        <f>AVERAGE(Dados!H147:H152)</f>
        <v>149.995</v>
      </c>
      <c r="I151" s="33">
        <f>AVERAGE(Dados!I147:I152)</f>
        <v>136.69999999999999</v>
      </c>
      <c r="J151" s="33">
        <f>AVERAGE(Dados!J147:J152)</f>
        <v>154.49</v>
      </c>
      <c r="K151" s="33">
        <f>AVERAGE(Dados!K147:K152)</f>
        <v>149.34166666666667</v>
      </c>
    </row>
    <row r="152" spans="1:11" x14ac:dyDescent="0.25">
      <c r="A152" s="32">
        <v>42064</v>
      </c>
      <c r="B152" s="33">
        <f>AVERAGE(Dados!B148:B153)</f>
        <v>145.13666666666668</v>
      </c>
      <c r="C152" s="33">
        <f>AVERAGE(Dados!C148:C153)</f>
        <v>141.71833333333333</v>
      </c>
      <c r="D152" s="33">
        <f>AVERAGE(Dados!D148:D153)</f>
        <v>158.79499999999999</v>
      </c>
      <c r="E152" s="33">
        <f>AVERAGE(Dados!E148:E153)</f>
        <v>144.84666666666666</v>
      </c>
      <c r="F152" s="33">
        <f>AVERAGE(Dados!F148:F153)</f>
        <v>153.76500000000001</v>
      </c>
      <c r="G152" s="33">
        <f>AVERAGE(Dados!G148:G153)</f>
        <v>140.84833333333333</v>
      </c>
      <c r="H152" s="33">
        <f>AVERAGE(Dados!H148:H153)</f>
        <v>149.26</v>
      </c>
      <c r="I152" s="33">
        <f>AVERAGE(Dados!I148:I153)</f>
        <v>136.82166666666669</v>
      </c>
      <c r="J152" s="33">
        <f>AVERAGE(Dados!J148:J153)</f>
        <v>155.09666666666666</v>
      </c>
      <c r="K152" s="33">
        <f>AVERAGE(Dados!K148:K153)</f>
        <v>149.18333333333337</v>
      </c>
    </row>
    <row r="153" spans="1:11" x14ac:dyDescent="0.25">
      <c r="A153" s="32">
        <v>42095</v>
      </c>
      <c r="B153" s="33">
        <f>AVERAGE(Dados!B149:B154)</f>
        <v>144.79500000000002</v>
      </c>
      <c r="C153" s="33">
        <f>AVERAGE(Dados!C149:C154)</f>
        <v>140.98833333333332</v>
      </c>
      <c r="D153" s="33">
        <f>AVERAGE(Dados!D149:D154)</f>
        <v>158.26</v>
      </c>
      <c r="E153" s="33">
        <f>AVERAGE(Dados!E149:E154)</f>
        <v>144.11499999999998</v>
      </c>
      <c r="F153" s="33">
        <f>AVERAGE(Dados!F149:F154)</f>
        <v>153.25833333333335</v>
      </c>
      <c r="G153" s="33">
        <f>AVERAGE(Dados!G149:G154)</f>
        <v>141.55666666666664</v>
      </c>
      <c r="H153" s="33">
        <f>AVERAGE(Dados!H149:H154)</f>
        <v>148.51833333333332</v>
      </c>
      <c r="I153" s="33">
        <f>AVERAGE(Dados!I149:I154)</f>
        <v>136.74666666666664</v>
      </c>
      <c r="J153" s="33">
        <f>AVERAGE(Dados!J149:J154)</f>
        <v>154.72999999999999</v>
      </c>
      <c r="K153" s="33">
        <f>AVERAGE(Dados!K149:K154)</f>
        <v>148.99333333333334</v>
      </c>
    </row>
    <row r="154" spans="1:11" x14ac:dyDescent="0.25">
      <c r="A154" s="32">
        <v>42125</v>
      </c>
      <c r="B154" s="33">
        <f>AVERAGE(Dados!B150:B155)</f>
        <v>144.08166666666668</v>
      </c>
      <c r="C154" s="33">
        <f>AVERAGE(Dados!C150:C155)</f>
        <v>140.32</v>
      </c>
      <c r="D154" s="33">
        <f>AVERAGE(Dados!D150:D155)</f>
        <v>157.56833333333336</v>
      </c>
      <c r="E154" s="33">
        <f>AVERAGE(Dados!E150:E155)</f>
        <v>143.28666666666666</v>
      </c>
      <c r="F154" s="33">
        <f>AVERAGE(Dados!F150:F155)</f>
        <v>152.84166666666667</v>
      </c>
      <c r="G154" s="33">
        <f>AVERAGE(Dados!G150:G155)</f>
        <v>140.02333333333334</v>
      </c>
      <c r="H154" s="33">
        <f>AVERAGE(Dados!H150:H155)</f>
        <v>147.90999999999997</v>
      </c>
      <c r="I154" s="33">
        <f>AVERAGE(Dados!I150:I155)</f>
        <v>136.5</v>
      </c>
      <c r="J154" s="33">
        <f>AVERAGE(Dados!J150:J155)</f>
        <v>154.02833333333334</v>
      </c>
      <c r="K154" s="33">
        <f>AVERAGE(Dados!K150:K155)</f>
        <v>148.53833333333333</v>
      </c>
    </row>
    <row r="155" spans="1:11" x14ac:dyDescent="0.25">
      <c r="A155" s="32">
        <v>42156</v>
      </c>
      <c r="B155" s="33">
        <f>AVERAGE(Dados!B151:B156)</f>
        <v>142.99666666666667</v>
      </c>
      <c r="C155" s="33">
        <f>AVERAGE(Dados!C151:C156)</f>
        <v>139.79833333333332</v>
      </c>
      <c r="D155" s="33">
        <f>AVERAGE(Dados!D151:D156)</f>
        <v>156.97333333333333</v>
      </c>
      <c r="E155" s="33">
        <f>AVERAGE(Dados!E151:E156)</f>
        <v>142.35833333333332</v>
      </c>
      <c r="F155" s="33">
        <f>AVERAGE(Dados!F151:F156)</f>
        <v>152.43333333333337</v>
      </c>
      <c r="G155" s="33">
        <f>AVERAGE(Dados!G151:G156)</f>
        <v>138.30833333333334</v>
      </c>
      <c r="H155" s="33">
        <f>AVERAGE(Dados!H151:H156)</f>
        <v>147.465</v>
      </c>
      <c r="I155" s="33">
        <f>AVERAGE(Dados!I151:I156)</f>
        <v>136.16833333333332</v>
      </c>
      <c r="J155" s="33">
        <f>AVERAGE(Dados!J151:J156)</f>
        <v>153.08166666666668</v>
      </c>
      <c r="K155" s="33">
        <f>AVERAGE(Dados!K151:K156)</f>
        <v>148.35999999999999</v>
      </c>
    </row>
    <row r="156" spans="1:11" x14ac:dyDescent="0.25">
      <c r="A156" s="32">
        <v>42186</v>
      </c>
      <c r="B156" s="33">
        <f>AVERAGE(Dados!B152:B157)</f>
        <v>141.94666666666669</v>
      </c>
      <c r="C156" s="33">
        <f>AVERAGE(Dados!C152:C157)</f>
        <v>138.73333333333332</v>
      </c>
      <c r="D156" s="33">
        <f>AVERAGE(Dados!D152:D157)</f>
        <v>155.32166666666669</v>
      </c>
      <c r="E156" s="33">
        <f>AVERAGE(Dados!E152:E157)</f>
        <v>141.41166666666666</v>
      </c>
      <c r="F156" s="33">
        <f>AVERAGE(Dados!F152:F157)</f>
        <v>151.76166666666668</v>
      </c>
      <c r="G156" s="33">
        <f>AVERAGE(Dados!G152:G157)</f>
        <v>137.42999999999998</v>
      </c>
      <c r="H156" s="33">
        <f>AVERAGE(Dados!H152:H157)</f>
        <v>146.61499999999998</v>
      </c>
      <c r="I156" s="33">
        <f>AVERAGE(Dados!I152:I157)</f>
        <v>135.49833333333331</v>
      </c>
      <c r="J156" s="33">
        <f>AVERAGE(Dados!J152:J157)</f>
        <v>152.04666666666668</v>
      </c>
      <c r="K156" s="33">
        <f>AVERAGE(Dados!K152:K157)</f>
        <v>148.21833333333333</v>
      </c>
    </row>
    <row r="157" spans="1:11" x14ac:dyDescent="0.25">
      <c r="A157" s="32">
        <v>42217</v>
      </c>
      <c r="B157" s="33">
        <f>AVERAGE(Dados!B153:B158)</f>
        <v>140.965</v>
      </c>
      <c r="C157" s="33">
        <f>AVERAGE(Dados!C153:C158)</f>
        <v>137.84166666666667</v>
      </c>
      <c r="D157" s="33">
        <f>AVERAGE(Dados!D153:D158)</f>
        <v>153.79166666666666</v>
      </c>
      <c r="E157" s="33">
        <f>AVERAGE(Dados!E153:E158)</f>
        <v>140.50666666666666</v>
      </c>
      <c r="F157" s="33">
        <f>AVERAGE(Dados!F153:F158)</f>
        <v>150.68666666666664</v>
      </c>
      <c r="G157" s="33">
        <f>AVERAGE(Dados!G153:G158)</f>
        <v>136.04833333333332</v>
      </c>
      <c r="H157" s="33">
        <f>AVERAGE(Dados!H153:H158)</f>
        <v>146.01166666666668</v>
      </c>
      <c r="I157" s="33">
        <f>AVERAGE(Dados!I153:I158)</f>
        <v>135.01833333333335</v>
      </c>
      <c r="J157" s="33">
        <f>AVERAGE(Dados!J153:J158)</f>
        <v>151.07</v>
      </c>
      <c r="K157" s="33">
        <f>AVERAGE(Dados!K153:K158)</f>
        <v>148.13166666666666</v>
      </c>
    </row>
    <row r="158" spans="1:11" x14ac:dyDescent="0.25">
      <c r="A158" s="32">
        <v>42248</v>
      </c>
      <c r="B158" s="33">
        <f>AVERAGE(Dados!B154:B159)</f>
        <v>139.86833333333331</v>
      </c>
      <c r="C158" s="33">
        <f>AVERAGE(Dados!C154:C159)</f>
        <v>137.18166666666664</v>
      </c>
      <c r="D158" s="33">
        <f>AVERAGE(Dados!D154:D159)</f>
        <v>152.33666666666667</v>
      </c>
      <c r="E158" s="33">
        <f>AVERAGE(Dados!E154:E159)</f>
        <v>139.64500000000001</v>
      </c>
      <c r="F158" s="33">
        <f>AVERAGE(Dados!F154:F159)</f>
        <v>150.12833333333333</v>
      </c>
      <c r="G158" s="33">
        <f>AVERAGE(Dados!G154:G159)</f>
        <v>133.91</v>
      </c>
      <c r="H158" s="33">
        <f>AVERAGE(Dados!H154:H159)</f>
        <v>145.32166666666666</v>
      </c>
      <c r="I158" s="33">
        <f>AVERAGE(Dados!I154:I159)</f>
        <v>134.26166666666668</v>
      </c>
      <c r="J158" s="33">
        <f>AVERAGE(Dados!J154:J159)</f>
        <v>149.57000000000002</v>
      </c>
      <c r="K158" s="33">
        <f>AVERAGE(Dados!K154:K159)</f>
        <v>147.54333333333332</v>
      </c>
    </row>
    <row r="159" spans="1:11" x14ac:dyDescent="0.25">
      <c r="A159" s="32">
        <v>42278</v>
      </c>
      <c r="B159" s="33">
        <f>AVERAGE(Dados!B155:B160)</f>
        <v>139.01</v>
      </c>
      <c r="C159" s="33">
        <f>AVERAGE(Dados!C155:C160)</f>
        <v>136.62500000000003</v>
      </c>
      <c r="D159" s="33">
        <f>AVERAGE(Dados!D155:D160)</f>
        <v>151.41999999999999</v>
      </c>
      <c r="E159" s="33">
        <f>AVERAGE(Dados!E155:E160)</f>
        <v>138.84833333333333</v>
      </c>
      <c r="F159" s="33">
        <f>AVERAGE(Dados!F155:F160)</f>
        <v>149.68500000000003</v>
      </c>
      <c r="G159" s="33">
        <f>AVERAGE(Dados!G155:G160)</f>
        <v>130.82499999999999</v>
      </c>
      <c r="H159" s="33">
        <f>AVERAGE(Dados!H155:H160)</f>
        <v>144.42499999999998</v>
      </c>
      <c r="I159" s="33">
        <f>AVERAGE(Dados!I155:I160)</f>
        <v>133.63</v>
      </c>
      <c r="J159" s="33">
        <f>AVERAGE(Dados!J155:J160)</f>
        <v>148.41</v>
      </c>
      <c r="K159" s="33">
        <f>AVERAGE(Dados!K155:K160)</f>
        <v>146.96833333333333</v>
      </c>
    </row>
    <row r="160" spans="1:11" x14ac:dyDescent="0.25">
      <c r="A160" s="32">
        <v>42309</v>
      </c>
      <c r="B160" s="33">
        <f>AVERAGE(Dados!B156:B161)</f>
        <v>138.20833333333331</v>
      </c>
      <c r="C160" s="33">
        <f>AVERAGE(Dados!C156:C161)</f>
        <v>135.87666666666669</v>
      </c>
      <c r="D160" s="33">
        <f>AVERAGE(Dados!D156:D161)</f>
        <v>150.77499999999998</v>
      </c>
      <c r="E160" s="33">
        <f>AVERAGE(Dados!E156:E161)</f>
        <v>138.03</v>
      </c>
      <c r="F160" s="33">
        <f>AVERAGE(Dados!F156:F161)</f>
        <v>149.09</v>
      </c>
      <c r="G160" s="33">
        <f>AVERAGE(Dados!G156:G161)</f>
        <v>130.29333333333332</v>
      </c>
      <c r="H160" s="33">
        <f>AVERAGE(Dados!H156:H161)</f>
        <v>143.94833333333335</v>
      </c>
      <c r="I160" s="33">
        <f>AVERAGE(Dados!I156:I161)</f>
        <v>133.13500000000002</v>
      </c>
      <c r="J160" s="33">
        <f>AVERAGE(Dados!J156:J161)</f>
        <v>147.58833333333334</v>
      </c>
      <c r="K160" s="33">
        <f>AVERAGE(Dados!K156:K161)</f>
        <v>146.30833333333337</v>
      </c>
    </row>
    <row r="161" spans="1:11" x14ac:dyDescent="0.25">
      <c r="A161" s="32">
        <v>42339</v>
      </c>
      <c r="B161" s="33">
        <f>AVERAGE(Dados!B157:B162)</f>
        <v>137.59166666666667</v>
      </c>
      <c r="C161" s="33">
        <f>AVERAGE(Dados!C157:C162)</f>
        <v>135.24</v>
      </c>
      <c r="D161" s="33">
        <f>AVERAGE(Dados!D157:D162)</f>
        <v>149.40166666666664</v>
      </c>
      <c r="E161" s="33">
        <f>AVERAGE(Dados!E157:E162)</f>
        <v>137.19333333333333</v>
      </c>
      <c r="F161" s="33">
        <f>AVERAGE(Dados!F157:F162)</f>
        <v>148.63833333333335</v>
      </c>
      <c r="G161" s="33">
        <f>AVERAGE(Dados!G157:G162)</f>
        <v>130.58000000000001</v>
      </c>
      <c r="H161" s="33">
        <f>AVERAGE(Dados!H157:H162)</f>
        <v>143.40166666666667</v>
      </c>
      <c r="I161" s="33">
        <f>AVERAGE(Dados!I157:I162)</f>
        <v>132.61666666666667</v>
      </c>
      <c r="J161" s="33">
        <f>AVERAGE(Dados!J157:J162)</f>
        <v>146.85500000000002</v>
      </c>
      <c r="K161" s="33">
        <f>AVERAGE(Dados!K157:K162)</f>
        <v>145.45333333333332</v>
      </c>
    </row>
    <row r="162" spans="1:11" x14ac:dyDescent="0.25">
      <c r="A162" s="32">
        <v>42370</v>
      </c>
      <c r="B162" s="33">
        <f>AVERAGE(Dados!B158:B163)</f>
        <v>136.99</v>
      </c>
      <c r="C162" s="33">
        <f>AVERAGE(Dados!C158:C163)</f>
        <v>134.56500000000003</v>
      </c>
      <c r="D162" s="33">
        <f>AVERAGE(Dados!D158:D163)</f>
        <v>147.88166666666669</v>
      </c>
      <c r="E162" s="33">
        <f>AVERAGE(Dados!E158:E163)</f>
        <v>136.46833333333333</v>
      </c>
      <c r="F162" s="33">
        <f>AVERAGE(Dados!F158:F163)</f>
        <v>148.24166666666667</v>
      </c>
      <c r="G162" s="33">
        <f>AVERAGE(Dados!G158:G163)</f>
        <v>130.52500000000001</v>
      </c>
      <c r="H162" s="33">
        <f>AVERAGE(Dados!H158:H163)</f>
        <v>143.08833333333334</v>
      </c>
      <c r="I162" s="33">
        <f>AVERAGE(Dados!I158:I163)</f>
        <v>131.95000000000002</v>
      </c>
      <c r="J162" s="33">
        <f>AVERAGE(Dados!J158:J163)</f>
        <v>146.9</v>
      </c>
      <c r="K162" s="33">
        <f>AVERAGE(Dados!K158:K163)</f>
        <v>144.60499999999999</v>
      </c>
    </row>
    <row r="163" spans="1:11" x14ac:dyDescent="0.25">
      <c r="A163" s="32">
        <v>42401</v>
      </c>
      <c r="B163" s="33">
        <f>AVERAGE(Dados!B159:B164)</f>
        <v>136.34666666666666</v>
      </c>
      <c r="C163" s="33">
        <f>AVERAGE(Dados!C159:C164)</f>
        <v>133.63500000000002</v>
      </c>
      <c r="D163" s="33">
        <f>AVERAGE(Dados!D159:D164)</f>
        <v>146.38333333333333</v>
      </c>
      <c r="E163" s="33">
        <f>AVERAGE(Dados!E159:E164)</f>
        <v>135.73333333333335</v>
      </c>
      <c r="F163" s="33">
        <f>AVERAGE(Dados!F159:F164)</f>
        <v>147.47333333333333</v>
      </c>
      <c r="G163" s="33">
        <f>AVERAGE(Dados!G159:G164)</f>
        <v>130.33000000000001</v>
      </c>
      <c r="H163" s="33">
        <f>AVERAGE(Dados!H159:H164)</f>
        <v>142.17000000000002</v>
      </c>
      <c r="I163" s="33">
        <f>AVERAGE(Dados!I159:I164)</f>
        <v>130.88333333333335</v>
      </c>
      <c r="J163" s="33">
        <f>AVERAGE(Dados!J159:J164)</f>
        <v>146.59333333333333</v>
      </c>
      <c r="K163" s="33">
        <f>AVERAGE(Dados!K159:K164)</f>
        <v>143.85833333333332</v>
      </c>
    </row>
    <row r="164" spans="1:11" x14ac:dyDescent="0.25">
      <c r="A164" s="32">
        <v>42430</v>
      </c>
      <c r="B164" s="33">
        <f>AVERAGE(Dados!B160:B165)</f>
        <v>135.79500000000002</v>
      </c>
      <c r="C164" s="33">
        <f>AVERAGE(Dados!C160:C165)</f>
        <v>133.27166666666668</v>
      </c>
      <c r="D164" s="33">
        <f>AVERAGE(Dados!D160:D165)</f>
        <v>145.13666666666666</v>
      </c>
      <c r="E164" s="33">
        <f>AVERAGE(Dados!E160:E165)</f>
        <v>135.27000000000001</v>
      </c>
      <c r="F164" s="33">
        <f>AVERAGE(Dados!F160:F165)</f>
        <v>147.16999999999999</v>
      </c>
      <c r="G164" s="33">
        <f>AVERAGE(Dados!G160:G165)</f>
        <v>131.51666666666668</v>
      </c>
      <c r="H164" s="33">
        <f>AVERAGE(Dados!H160:H165)</f>
        <v>141.89166666666668</v>
      </c>
      <c r="I164" s="33">
        <f>AVERAGE(Dados!I160:I165)</f>
        <v>130.32333333333335</v>
      </c>
      <c r="J164" s="33">
        <f>AVERAGE(Dados!J160:J165)</f>
        <v>146.56166666666664</v>
      </c>
      <c r="K164" s="33">
        <f>AVERAGE(Dados!K160:K165)</f>
        <v>143.29499999999999</v>
      </c>
    </row>
    <row r="165" spans="1:11" x14ac:dyDescent="0.25">
      <c r="A165" s="32">
        <v>42461</v>
      </c>
      <c r="B165" s="33">
        <f>AVERAGE(Dados!B161:B166)</f>
        <v>135.31166666666667</v>
      </c>
      <c r="C165" s="33">
        <f>AVERAGE(Dados!C161:C166)</f>
        <v>133.06666666666669</v>
      </c>
      <c r="D165" s="33">
        <f>AVERAGE(Dados!D161:D166)</f>
        <v>144.32333333333335</v>
      </c>
      <c r="E165" s="33">
        <f>AVERAGE(Dados!E161:E166)</f>
        <v>134.83000000000001</v>
      </c>
      <c r="F165" s="33">
        <f>AVERAGE(Dados!F161:F166)</f>
        <v>147.13666666666668</v>
      </c>
      <c r="G165" s="33">
        <f>AVERAGE(Dados!G161:G166)</f>
        <v>132.38833333333335</v>
      </c>
      <c r="H165" s="33">
        <f>AVERAGE(Dados!H161:H166)</f>
        <v>141.79333333333335</v>
      </c>
      <c r="I165" s="33">
        <f>AVERAGE(Dados!I161:I166)</f>
        <v>129.79666666666668</v>
      </c>
      <c r="J165" s="33">
        <f>AVERAGE(Dados!J161:J166)</f>
        <v>146.86000000000001</v>
      </c>
      <c r="K165" s="33">
        <f>AVERAGE(Dados!K161:K166)</f>
        <v>142.64666666666668</v>
      </c>
    </row>
    <row r="166" spans="1:11" x14ac:dyDescent="0.25">
      <c r="A166" s="32">
        <v>42491</v>
      </c>
      <c r="B166" s="33">
        <f>AVERAGE(Dados!B162:B167)</f>
        <v>134.90666666666667</v>
      </c>
      <c r="C166" s="33">
        <f>AVERAGE(Dados!C162:C167)</f>
        <v>133.03333333333333</v>
      </c>
      <c r="D166" s="33">
        <f>AVERAGE(Dados!D162:D167)</f>
        <v>143.36833333333331</v>
      </c>
      <c r="E166" s="33">
        <f>AVERAGE(Dados!E162:E167)</f>
        <v>134.47166666666666</v>
      </c>
      <c r="F166" s="33">
        <f>AVERAGE(Dados!F162:F167)</f>
        <v>147.07166666666669</v>
      </c>
      <c r="G166" s="33">
        <f>AVERAGE(Dados!G162:G167)</f>
        <v>132.685</v>
      </c>
      <c r="H166" s="33">
        <f>AVERAGE(Dados!H162:H167)</f>
        <v>141.39833333333334</v>
      </c>
      <c r="I166" s="33">
        <f>AVERAGE(Dados!I162:I167)</f>
        <v>129.55333333333334</v>
      </c>
      <c r="J166" s="33">
        <f>AVERAGE(Dados!J162:J167)</f>
        <v>147.01333333333332</v>
      </c>
      <c r="K166" s="33">
        <f>AVERAGE(Dados!K162:K167)</f>
        <v>142.25833333333333</v>
      </c>
    </row>
    <row r="167" spans="1:11" x14ac:dyDescent="0.25">
      <c r="A167" s="32">
        <v>42522</v>
      </c>
      <c r="B167" s="33">
        <f>AVERAGE(Dados!B163:B168)</f>
        <v>134.58333333333334</v>
      </c>
      <c r="C167" s="33">
        <f>AVERAGE(Dados!C163:C168)</f>
        <v>133.35499999999999</v>
      </c>
      <c r="D167" s="33">
        <f>AVERAGE(Dados!D163:D168)</f>
        <v>143.34</v>
      </c>
      <c r="E167" s="33">
        <f>AVERAGE(Dados!E163:E168)</f>
        <v>134.36166666666665</v>
      </c>
      <c r="F167" s="33">
        <f>AVERAGE(Dados!F163:F168)</f>
        <v>147.18666666666667</v>
      </c>
      <c r="G167" s="33">
        <f>AVERAGE(Dados!G163:G168)</f>
        <v>132.84333333333333</v>
      </c>
      <c r="H167" s="33">
        <f>AVERAGE(Dados!H163:H168)</f>
        <v>141.61166666666668</v>
      </c>
      <c r="I167" s="33">
        <f>AVERAGE(Dados!I163:I168)</f>
        <v>129.57000000000002</v>
      </c>
      <c r="J167" s="33">
        <f>AVERAGE(Dados!J163:J168)</f>
        <v>147.43833333333333</v>
      </c>
      <c r="K167" s="33">
        <f>AVERAGE(Dados!K163:K168)</f>
        <v>141.59166666666667</v>
      </c>
    </row>
    <row r="168" spans="1:11" x14ac:dyDescent="0.25">
      <c r="A168" s="32">
        <v>42552</v>
      </c>
      <c r="B168" s="33">
        <f>AVERAGE(Dados!B164:B169)</f>
        <v>134.37666666666669</v>
      </c>
      <c r="C168" s="33">
        <f>AVERAGE(Dados!C164:C169)</f>
        <v>133.88166666666666</v>
      </c>
      <c r="D168" s="33">
        <f>AVERAGE(Dados!D164:D169)</f>
        <v>143.91833333333332</v>
      </c>
      <c r="E168" s="33">
        <f>AVERAGE(Dados!E164:E169)</f>
        <v>134.45166666666668</v>
      </c>
      <c r="F168" s="33">
        <f>AVERAGE(Dados!F164:F169)</f>
        <v>147.51166666666666</v>
      </c>
      <c r="G168" s="33">
        <f>AVERAGE(Dados!G164:G169)</f>
        <v>132.62</v>
      </c>
      <c r="H168" s="33">
        <f>AVERAGE(Dados!H164:H169)</f>
        <v>141.65166666666667</v>
      </c>
      <c r="I168" s="33">
        <f>AVERAGE(Dados!I164:I169)</f>
        <v>129.73499999999999</v>
      </c>
      <c r="J168" s="33">
        <f>AVERAGE(Dados!J164:J169)</f>
        <v>147.73999999999998</v>
      </c>
      <c r="K168" s="33">
        <f>AVERAGE(Dados!K164:K169)</f>
        <v>140.18666666666667</v>
      </c>
    </row>
    <row r="169" spans="1:11" x14ac:dyDescent="0.25">
      <c r="A169" s="32">
        <v>42583</v>
      </c>
      <c r="B169" s="33">
        <f>AVERAGE(Dados!B165:B170)</f>
        <v>134.01000000000002</v>
      </c>
      <c r="C169" s="33">
        <f>AVERAGE(Dados!C165:C170)</f>
        <v>134.06499999999997</v>
      </c>
      <c r="D169" s="33">
        <f>AVERAGE(Dados!D165:D170)</f>
        <v>144.41999999999999</v>
      </c>
      <c r="E169" s="33">
        <f>AVERAGE(Dados!E165:E170)</f>
        <v>134.39500000000001</v>
      </c>
      <c r="F169" s="33">
        <f>AVERAGE(Dados!F165:F170)</f>
        <v>147.85333333333332</v>
      </c>
      <c r="G169" s="33">
        <f>AVERAGE(Dados!G165:G170)</f>
        <v>132.66500000000002</v>
      </c>
      <c r="H169" s="33">
        <f>AVERAGE(Dados!H165:H170)</f>
        <v>142.00833333333335</v>
      </c>
      <c r="I169" s="33">
        <f>AVERAGE(Dados!I165:I170)</f>
        <v>130.05166666666665</v>
      </c>
      <c r="J169" s="33">
        <f>AVERAGE(Dados!J165:J170)</f>
        <v>147.43499999999997</v>
      </c>
      <c r="K169" s="33">
        <f>AVERAGE(Dados!K165:K170)</f>
        <v>139.38499999999999</v>
      </c>
    </row>
    <row r="170" spans="1:11" x14ac:dyDescent="0.25">
      <c r="A170" s="32">
        <v>42614</v>
      </c>
      <c r="B170" s="33">
        <f>AVERAGE(Dados!B166:B171)</f>
        <v>133.77333333333334</v>
      </c>
      <c r="C170" s="33">
        <f>AVERAGE(Dados!C166:C171)</f>
        <v>133.94333333333333</v>
      </c>
      <c r="D170" s="33">
        <f>AVERAGE(Dados!D166:D171)</f>
        <v>144.96333333333334</v>
      </c>
      <c r="E170" s="33">
        <f>AVERAGE(Dados!E166:E171)</f>
        <v>134.16666666666666</v>
      </c>
      <c r="F170" s="33">
        <f>AVERAGE(Dados!F166:F171)</f>
        <v>147.97333333333333</v>
      </c>
      <c r="G170" s="33">
        <f>AVERAGE(Dados!G166:G171)</f>
        <v>131.815</v>
      </c>
      <c r="H170" s="33">
        <f>AVERAGE(Dados!H166:H171)</f>
        <v>141.91166666666666</v>
      </c>
      <c r="I170" s="33">
        <f>AVERAGE(Dados!I166:I171)</f>
        <v>130.16999999999999</v>
      </c>
      <c r="J170" s="33">
        <f>AVERAGE(Dados!J166:J171)</f>
        <v>146.78166666666667</v>
      </c>
      <c r="K170" s="33">
        <f>AVERAGE(Dados!K166:K171)</f>
        <v>138.78833333333336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N170"/>
  <sheetViews>
    <sheetView showGridLines="0" workbookViewId="0">
      <pane xSplit="1" ySplit="5" topLeftCell="B153" activePane="bottomRight" state="frozen"/>
      <selection activeCell="D144" sqref="D144"/>
      <selection pane="topRight" activeCell="D144" sqref="D144"/>
      <selection pane="bottomLeft" activeCell="D144" sqref="D144"/>
      <selection pane="bottomRight" activeCell="A169" sqref="A169"/>
    </sheetView>
  </sheetViews>
  <sheetFormatPr defaultRowHeight="15" x14ac:dyDescent="0.25"/>
  <cols>
    <col min="1" max="1" width="19.140625" style="12" customWidth="1"/>
    <col min="2" max="3" width="9.140625" style="11"/>
    <col min="4" max="4" width="9.5703125" style="11" bestFit="1" customWidth="1"/>
    <col min="5" max="11" width="9.140625" style="11"/>
    <col min="12" max="16384" width="9.140625" style="12"/>
  </cols>
  <sheetData>
    <row r="1" spans="1:14" s="4" customFormat="1" ht="18.75" x14ac:dyDescent="0.3">
      <c r="A1" s="2" t="s">
        <v>19</v>
      </c>
      <c r="B1" s="3"/>
      <c r="C1" s="3"/>
      <c r="D1" s="3"/>
      <c r="E1" s="3"/>
      <c r="F1" s="3"/>
      <c r="G1" s="3"/>
      <c r="H1" s="13" t="s">
        <v>18</v>
      </c>
      <c r="I1" s="3"/>
      <c r="J1" s="3"/>
    </row>
    <row r="2" spans="1:14" s="6" customFormat="1" x14ac:dyDescent="0.25">
      <c r="A2" s="5" t="s">
        <v>0</v>
      </c>
      <c r="B2" s="1"/>
      <c r="C2" s="1"/>
      <c r="D2" s="1"/>
      <c r="E2" s="1"/>
      <c r="F2" s="1"/>
      <c r="G2" s="1"/>
      <c r="H2" s="1"/>
      <c r="I2" s="1"/>
      <c r="J2" s="1"/>
    </row>
    <row r="3" spans="1:14" s="6" customFormat="1" ht="22.5" customHeight="1" x14ac:dyDescent="0.25">
      <c r="A3" s="7" t="s">
        <v>1</v>
      </c>
      <c r="B3" s="1"/>
      <c r="C3" s="1"/>
      <c r="D3" s="1"/>
      <c r="E3" s="8"/>
      <c r="F3" s="8"/>
      <c r="G3" s="1"/>
      <c r="H3" s="1"/>
      <c r="I3" s="1"/>
      <c r="N3" s="1"/>
    </row>
    <row r="4" spans="1:14" s="6" customFormat="1" x14ac:dyDescent="0.25">
      <c r="A4" s="5" t="str">
        <f>Resumo!A4</f>
        <v>Atualizado em 29 de Novembro de 2016</v>
      </c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4" s="10" customFormat="1" ht="39" customHeight="1" x14ac:dyDescent="0.25">
      <c r="A5" s="9"/>
      <c r="B5" s="14" t="s">
        <v>14</v>
      </c>
      <c r="C5" s="14" t="s">
        <v>11</v>
      </c>
      <c r="D5" s="14" t="s">
        <v>9</v>
      </c>
      <c r="E5" s="14" t="s">
        <v>10</v>
      </c>
      <c r="F5" s="14" t="s">
        <v>8</v>
      </c>
      <c r="G5" s="14" t="s">
        <v>3</v>
      </c>
      <c r="H5" s="14" t="s">
        <v>5</v>
      </c>
      <c r="I5" s="14" t="s">
        <v>4</v>
      </c>
      <c r="J5" s="14" t="s">
        <v>7</v>
      </c>
      <c r="K5" s="14" t="s">
        <v>6</v>
      </c>
    </row>
    <row r="6" spans="1:14" x14ac:dyDescent="0.25">
      <c r="A6" s="32">
        <v>37622</v>
      </c>
      <c r="B6" s="33" t="s">
        <v>13</v>
      </c>
      <c r="C6" s="33" t="s">
        <v>13</v>
      </c>
      <c r="D6" s="33" t="s">
        <v>13</v>
      </c>
      <c r="E6" s="33" t="s">
        <v>13</v>
      </c>
      <c r="F6" s="33" t="s">
        <v>13</v>
      </c>
      <c r="G6" s="33" t="s">
        <v>13</v>
      </c>
      <c r="H6" s="33" t="s">
        <v>13</v>
      </c>
      <c r="I6" s="33" t="s">
        <v>13</v>
      </c>
      <c r="J6" s="33" t="s">
        <v>13</v>
      </c>
      <c r="K6" s="33" t="s">
        <v>13</v>
      </c>
      <c r="L6" s="17"/>
    </row>
    <row r="7" spans="1:14" x14ac:dyDescent="0.25">
      <c r="A7" s="32">
        <v>37653</v>
      </c>
      <c r="B7" s="33" t="s">
        <v>13</v>
      </c>
      <c r="C7" s="33" t="s">
        <v>13</v>
      </c>
      <c r="D7" s="33" t="s">
        <v>13</v>
      </c>
      <c r="E7" s="33" t="s">
        <v>13</v>
      </c>
      <c r="F7" s="33" t="s">
        <v>13</v>
      </c>
      <c r="G7" s="33" t="s">
        <v>13</v>
      </c>
      <c r="H7" s="33" t="s">
        <v>13</v>
      </c>
      <c r="I7" s="33" t="s">
        <v>13</v>
      </c>
      <c r="J7" s="33" t="s">
        <v>13</v>
      </c>
      <c r="K7" s="33" t="s">
        <v>13</v>
      </c>
      <c r="L7" s="17"/>
    </row>
    <row r="8" spans="1:14" x14ac:dyDescent="0.25">
      <c r="A8" s="32">
        <v>37681</v>
      </c>
      <c r="B8" s="33" t="s">
        <v>13</v>
      </c>
      <c r="C8" s="33" t="s">
        <v>13</v>
      </c>
      <c r="D8" s="33" t="s">
        <v>13</v>
      </c>
      <c r="E8" s="33" t="s">
        <v>13</v>
      </c>
      <c r="F8" s="33" t="s">
        <v>13</v>
      </c>
      <c r="G8" s="33" t="s">
        <v>13</v>
      </c>
      <c r="H8" s="33" t="s">
        <v>13</v>
      </c>
      <c r="I8" s="33" t="s">
        <v>13</v>
      </c>
      <c r="J8" s="33" t="s">
        <v>13</v>
      </c>
      <c r="K8" s="33" t="s">
        <v>13</v>
      </c>
    </row>
    <row r="9" spans="1:14" x14ac:dyDescent="0.25">
      <c r="A9" s="32">
        <v>37712</v>
      </c>
      <c r="B9" s="33" t="s">
        <v>13</v>
      </c>
      <c r="C9" s="33" t="s">
        <v>13</v>
      </c>
      <c r="D9" s="33" t="s">
        <v>13</v>
      </c>
      <c r="E9" s="33" t="s">
        <v>13</v>
      </c>
      <c r="F9" s="33" t="s">
        <v>13</v>
      </c>
      <c r="G9" s="33" t="s">
        <v>13</v>
      </c>
      <c r="H9" s="33" t="s">
        <v>13</v>
      </c>
      <c r="I9" s="33" t="s">
        <v>13</v>
      </c>
      <c r="J9" s="33" t="s">
        <v>13</v>
      </c>
      <c r="K9" s="33" t="s">
        <v>13</v>
      </c>
    </row>
    <row r="10" spans="1:14" x14ac:dyDescent="0.25">
      <c r="A10" s="32">
        <v>37742</v>
      </c>
      <c r="B10" s="33" t="s">
        <v>13</v>
      </c>
      <c r="C10" s="33" t="s">
        <v>13</v>
      </c>
      <c r="D10" s="33" t="s">
        <v>13</v>
      </c>
      <c r="E10" s="33" t="s">
        <v>13</v>
      </c>
      <c r="F10" s="33" t="s">
        <v>13</v>
      </c>
      <c r="G10" s="33" t="s">
        <v>13</v>
      </c>
      <c r="H10" s="33" t="s">
        <v>13</v>
      </c>
      <c r="I10" s="33" t="s">
        <v>13</v>
      </c>
      <c r="J10" s="33" t="s">
        <v>13</v>
      </c>
      <c r="K10" s="33" t="s">
        <v>13</v>
      </c>
    </row>
    <row r="11" spans="1:14" x14ac:dyDescent="0.25">
      <c r="A11" s="32">
        <v>37773</v>
      </c>
      <c r="B11" s="33" t="s">
        <v>13</v>
      </c>
      <c r="C11" s="33" t="s">
        <v>13</v>
      </c>
      <c r="D11" s="33" t="s">
        <v>13</v>
      </c>
      <c r="E11" s="33" t="s">
        <v>13</v>
      </c>
      <c r="F11" s="33" t="s">
        <v>13</v>
      </c>
      <c r="G11" s="33" t="s">
        <v>13</v>
      </c>
      <c r="H11" s="33" t="s">
        <v>13</v>
      </c>
      <c r="I11" s="33" t="s">
        <v>13</v>
      </c>
      <c r="J11" s="33" t="s">
        <v>13</v>
      </c>
      <c r="K11" s="33" t="s">
        <v>13</v>
      </c>
    </row>
    <row r="12" spans="1:14" x14ac:dyDescent="0.25">
      <c r="A12" s="32">
        <v>37803</v>
      </c>
      <c r="B12" s="33" t="s">
        <v>13</v>
      </c>
      <c r="C12" s="33" t="s">
        <v>13</v>
      </c>
      <c r="D12" s="33" t="s">
        <v>13</v>
      </c>
      <c r="E12" s="33" t="s">
        <v>13</v>
      </c>
      <c r="F12" s="33" t="s">
        <v>13</v>
      </c>
      <c r="G12" s="33" t="s">
        <v>13</v>
      </c>
      <c r="H12" s="33" t="s">
        <v>13</v>
      </c>
      <c r="I12" s="33" t="s">
        <v>13</v>
      </c>
      <c r="J12" s="33" t="s">
        <v>13</v>
      </c>
      <c r="K12" s="33" t="s">
        <v>13</v>
      </c>
    </row>
    <row r="13" spans="1:14" x14ac:dyDescent="0.25">
      <c r="A13" s="32">
        <v>37834</v>
      </c>
      <c r="B13" s="33" t="s">
        <v>13</v>
      </c>
      <c r="C13" s="33" t="s">
        <v>13</v>
      </c>
      <c r="D13" s="33" t="s">
        <v>13</v>
      </c>
      <c r="E13" s="33" t="s">
        <v>13</v>
      </c>
      <c r="F13" s="33" t="s">
        <v>13</v>
      </c>
      <c r="G13" s="33" t="s">
        <v>13</v>
      </c>
      <c r="H13" s="33" t="s">
        <v>13</v>
      </c>
      <c r="I13" s="33" t="s">
        <v>13</v>
      </c>
      <c r="J13" s="33" t="s">
        <v>13</v>
      </c>
      <c r="K13" s="33" t="s">
        <v>13</v>
      </c>
    </row>
    <row r="14" spans="1:14" x14ac:dyDescent="0.25">
      <c r="A14" s="32">
        <v>37865</v>
      </c>
      <c r="B14" s="33" t="s">
        <v>13</v>
      </c>
      <c r="C14" s="33" t="s">
        <v>13</v>
      </c>
      <c r="D14" s="33" t="s">
        <v>13</v>
      </c>
      <c r="E14" s="33" t="s">
        <v>13</v>
      </c>
      <c r="F14" s="33" t="s">
        <v>13</v>
      </c>
      <c r="G14" s="33" t="s">
        <v>13</v>
      </c>
      <c r="H14" s="33" t="s">
        <v>13</v>
      </c>
      <c r="I14" s="33" t="s">
        <v>13</v>
      </c>
      <c r="J14" s="33" t="s">
        <v>13</v>
      </c>
      <c r="K14" s="33" t="s">
        <v>13</v>
      </c>
    </row>
    <row r="15" spans="1:14" x14ac:dyDescent="0.25">
      <c r="A15" s="32">
        <v>37895</v>
      </c>
      <c r="B15" s="33" t="s">
        <v>13</v>
      </c>
      <c r="C15" s="33" t="s">
        <v>13</v>
      </c>
      <c r="D15" s="33" t="s">
        <v>13</v>
      </c>
      <c r="E15" s="33" t="s">
        <v>13</v>
      </c>
      <c r="F15" s="33" t="s">
        <v>13</v>
      </c>
      <c r="G15" s="33" t="s">
        <v>13</v>
      </c>
      <c r="H15" s="33" t="s">
        <v>13</v>
      </c>
      <c r="I15" s="33" t="s">
        <v>13</v>
      </c>
      <c r="J15" s="33" t="s">
        <v>13</v>
      </c>
      <c r="K15" s="33" t="s">
        <v>13</v>
      </c>
    </row>
    <row r="16" spans="1:14" x14ac:dyDescent="0.25">
      <c r="A16" s="32">
        <v>37926</v>
      </c>
      <c r="B16" s="33" t="s">
        <v>13</v>
      </c>
      <c r="C16" s="33" t="s">
        <v>13</v>
      </c>
      <c r="D16" s="33" t="s">
        <v>13</v>
      </c>
      <c r="E16" s="33" t="s">
        <v>13</v>
      </c>
      <c r="F16" s="33" t="s">
        <v>13</v>
      </c>
      <c r="G16" s="33" t="s">
        <v>13</v>
      </c>
      <c r="H16" s="33" t="s">
        <v>13</v>
      </c>
      <c r="I16" s="33" t="s">
        <v>13</v>
      </c>
      <c r="J16" s="33" t="s">
        <v>13</v>
      </c>
      <c r="K16" s="33" t="s">
        <v>13</v>
      </c>
    </row>
    <row r="17" spans="1:11" x14ac:dyDescent="0.25">
      <c r="A17" s="32">
        <v>37956</v>
      </c>
      <c r="B17" s="33">
        <f>AVERAGE(Dados!B7:B18)</f>
        <v>100.95833333333333</v>
      </c>
      <c r="C17" s="33">
        <f>AVERAGE(Dados!C7:C18)</f>
        <v>97.498333333333321</v>
      </c>
      <c r="D17" s="33">
        <f>AVERAGE(Dados!D7:D18)</f>
        <v>99.730833333333337</v>
      </c>
      <c r="E17" s="33">
        <f>AVERAGE(Dados!E7:E18)</f>
        <v>99.629999999999981</v>
      </c>
      <c r="F17" s="33">
        <f>AVERAGE(Dados!F7:F18)</f>
        <v>100.49333333333334</v>
      </c>
      <c r="G17" s="33">
        <f>AVERAGE(Dados!G7:G18)</f>
        <v>102.39833333333335</v>
      </c>
      <c r="H17" s="33">
        <f>AVERAGE(Dados!H7:H18)</f>
        <v>101.38499999999999</v>
      </c>
      <c r="I17" s="33">
        <f>AVERAGE(Dados!I7:I18)</f>
        <v>100.72666666666667</v>
      </c>
      <c r="J17" s="33">
        <f>AVERAGE(Dados!J7:J18)</f>
        <v>104.1675</v>
      </c>
      <c r="K17" s="33">
        <f>AVERAGE(Dados!K7:K18)</f>
        <v>99.975833333333341</v>
      </c>
    </row>
    <row r="18" spans="1:11" x14ac:dyDescent="0.25">
      <c r="A18" s="32">
        <v>37987</v>
      </c>
      <c r="B18" s="33">
        <f>AVERAGE(Dados!B8:B19)</f>
        <v>101.21749999999999</v>
      </c>
      <c r="C18" s="33">
        <f>AVERAGE(Dados!C8:C19)</f>
        <v>97.660833333333301</v>
      </c>
      <c r="D18" s="33">
        <f>AVERAGE(Dados!D8:D19)</f>
        <v>99.504166666666677</v>
      </c>
      <c r="E18" s="33">
        <f>AVERAGE(Dados!E8:E19)</f>
        <v>99.448333333333323</v>
      </c>
      <c r="F18" s="33">
        <f>AVERAGE(Dados!F8:F19)</f>
        <v>100.89166666666669</v>
      </c>
      <c r="G18" s="33">
        <f>AVERAGE(Dados!G8:G19)</f>
        <v>102.62500000000001</v>
      </c>
      <c r="H18" s="33">
        <f>AVERAGE(Dados!H8:H19)</f>
        <v>101.57666666666665</v>
      </c>
      <c r="I18" s="33">
        <f>AVERAGE(Dados!I8:I19)</f>
        <v>100.72916666666664</v>
      </c>
      <c r="J18" s="33">
        <f>AVERAGE(Dados!J8:J19)</f>
        <v>104.31416666666667</v>
      </c>
      <c r="K18" s="33">
        <f>AVERAGE(Dados!K8:K19)</f>
        <v>99.954166666666666</v>
      </c>
    </row>
    <row r="19" spans="1:11" x14ac:dyDescent="0.25">
      <c r="A19" s="32">
        <v>38018</v>
      </c>
      <c r="B19" s="33">
        <f>AVERAGE(Dados!B9:B20)</f>
        <v>101.42750000000001</v>
      </c>
      <c r="C19" s="33">
        <f>AVERAGE(Dados!C9:C20)</f>
        <v>97.754166666666663</v>
      </c>
      <c r="D19" s="33">
        <f>AVERAGE(Dados!D9:D20)</f>
        <v>99.44916666666667</v>
      </c>
      <c r="E19" s="33">
        <f>AVERAGE(Dados!E9:E20)</f>
        <v>99.436666666666667</v>
      </c>
      <c r="F19" s="33">
        <f>AVERAGE(Dados!F9:F20)</f>
        <v>101.1541666666667</v>
      </c>
      <c r="G19" s="33">
        <f>AVERAGE(Dados!G9:G20)</f>
        <v>102.88416666666666</v>
      </c>
      <c r="H19" s="33">
        <f>AVERAGE(Dados!H9:H20)</f>
        <v>101.70666666666666</v>
      </c>
      <c r="I19" s="33">
        <f>AVERAGE(Dados!I9:I20)</f>
        <v>100.57916666666665</v>
      </c>
      <c r="J19" s="33">
        <f>AVERAGE(Dados!J9:J20)</f>
        <v>104.34333333333335</v>
      </c>
      <c r="K19" s="33">
        <f>AVERAGE(Dados!K9:K20)</f>
        <v>100.11166666666666</v>
      </c>
    </row>
    <row r="20" spans="1:11" x14ac:dyDescent="0.25">
      <c r="A20" s="32">
        <v>38047</v>
      </c>
      <c r="B20" s="33">
        <f>AVERAGE(Dados!B10:B21)</f>
        <v>101.74083333333333</v>
      </c>
      <c r="C20" s="33">
        <f>AVERAGE(Dados!C10:C21)</f>
        <v>98.139166666666668</v>
      </c>
      <c r="D20" s="33">
        <f>AVERAGE(Dados!D10:D21)</f>
        <v>99.57083333333334</v>
      </c>
      <c r="E20" s="33">
        <f>AVERAGE(Dados!E10:E21)</f>
        <v>99.435000000000002</v>
      </c>
      <c r="F20" s="33">
        <f>AVERAGE(Dados!F10:F21)</f>
        <v>101.61</v>
      </c>
      <c r="G20" s="33">
        <f>AVERAGE(Dados!G10:G21)</f>
        <v>103.43083333333334</v>
      </c>
      <c r="H20" s="33">
        <f>AVERAGE(Dados!H10:H21)</f>
        <v>102.03166666666665</v>
      </c>
      <c r="I20" s="33">
        <f>AVERAGE(Dados!I10:I21)</f>
        <v>100.57916666666665</v>
      </c>
      <c r="J20" s="33">
        <f>AVERAGE(Dados!J10:J21)</f>
        <v>104.62416666666665</v>
      </c>
      <c r="K20" s="33">
        <f>AVERAGE(Dados!K10:K21)</f>
        <v>100.34499999999998</v>
      </c>
    </row>
    <row r="21" spans="1:11" x14ac:dyDescent="0.25">
      <c r="A21" s="32">
        <v>38078</v>
      </c>
      <c r="B21" s="33">
        <f>AVERAGE(Dados!B11:B22)</f>
        <v>102.19583333333333</v>
      </c>
      <c r="C21" s="33">
        <f>AVERAGE(Dados!C11:C22)</f>
        <v>98.713333333333352</v>
      </c>
      <c r="D21" s="33">
        <f>AVERAGE(Dados!D11:D22)</f>
        <v>99.793333333333337</v>
      </c>
      <c r="E21" s="33">
        <f>AVERAGE(Dados!E11:E22)</f>
        <v>99.447500000000005</v>
      </c>
      <c r="F21" s="33">
        <f>AVERAGE(Dados!F11:F22)</f>
        <v>102.24166666666666</v>
      </c>
      <c r="G21" s="33">
        <f>AVERAGE(Dados!G11:G22)</f>
        <v>103.14083333333336</v>
      </c>
      <c r="H21" s="33">
        <f>AVERAGE(Dados!H11:H22)</f>
        <v>102.50333333333332</v>
      </c>
      <c r="I21" s="33">
        <f>AVERAGE(Dados!I11:I22)</f>
        <v>100.68249999999999</v>
      </c>
      <c r="J21" s="33">
        <f>AVERAGE(Dados!J11:J22)</f>
        <v>105.04499999999997</v>
      </c>
      <c r="K21" s="33">
        <f>AVERAGE(Dados!K11:K22)</f>
        <v>100.52583333333332</v>
      </c>
    </row>
    <row r="22" spans="1:11" x14ac:dyDescent="0.25">
      <c r="A22" s="32">
        <v>38108</v>
      </c>
      <c r="B22" s="33">
        <f>AVERAGE(Dados!B12:B23)</f>
        <v>102.74249999999999</v>
      </c>
      <c r="C22" s="33">
        <f>AVERAGE(Dados!C12:C23)</f>
        <v>99.278333333333322</v>
      </c>
      <c r="D22" s="33">
        <f>AVERAGE(Dados!D12:D23)</f>
        <v>100.18083333333334</v>
      </c>
      <c r="E22" s="33">
        <f>AVERAGE(Dados!E12:E23)</f>
        <v>99.538333333333341</v>
      </c>
      <c r="F22" s="33">
        <f>AVERAGE(Dados!F12:F23)</f>
        <v>102.93083333333333</v>
      </c>
      <c r="G22" s="33">
        <f>AVERAGE(Dados!G12:G23)</f>
        <v>103.19583333333334</v>
      </c>
      <c r="H22" s="33">
        <f>AVERAGE(Dados!H12:H23)</f>
        <v>103.01583333333332</v>
      </c>
      <c r="I22" s="33">
        <f>AVERAGE(Dados!I12:I23)</f>
        <v>100.84583333333335</v>
      </c>
      <c r="J22" s="33">
        <f>AVERAGE(Dados!J12:J23)</f>
        <v>105.3033333333333</v>
      </c>
      <c r="K22" s="33">
        <f>AVERAGE(Dados!K12:K23)</f>
        <v>100.98166666666667</v>
      </c>
    </row>
    <row r="23" spans="1:11" x14ac:dyDescent="0.25">
      <c r="A23" s="32">
        <v>38139</v>
      </c>
      <c r="B23" s="33">
        <f>AVERAGE(Dados!B13:B24)</f>
        <v>103.3175</v>
      </c>
      <c r="C23" s="33">
        <f>AVERAGE(Dados!C13:C24)</f>
        <v>99.967500000000015</v>
      </c>
      <c r="D23" s="33">
        <f>AVERAGE(Dados!D13:D24)</f>
        <v>100.44666666666667</v>
      </c>
      <c r="E23" s="33">
        <f>AVERAGE(Dados!E13:E24)</f>
        <v>99.545833333333348</v>
      </c>
      <c r="F23" s="33">
        <f>AVERAGE(Dados!F13:F24)</f>
        <v>103.66333333333331</v>
      </c>
      <c r="G23" s="33">
        <f>AVERAGE(Dados!G13:G24)</f>
        <v>103.50666666666666</v>
      </c>
      <c r="H23" s="33">
        <f>AVERAGE(Dados!H13:H24)</f>
        <v>103.53583333333331</v>
      </c>
      <c r="I23" s="33">
        <f>AVERAGE(Dados!I13:I24)</f>
        <v>101.07166666666667</v>
      </c>
      <c r="J23" s="33">
        <f>AVERAGE(Dados!J13:J24)</f>
        <v>105.56416666666667</v>
      </c>
      <c r="K23" s="33">
        <f>AVERAGE(Dados!K13:K24)</f>
        <v>101.90583333333335</v>
      </c>
    </row>
    <row r="24" spans="1:11" x14ac:dyDescent="0.25">
      <c r="A24" s="32">
        <v>38169</v>
      </c>
      <c r="B24" s="33">
        <f>AVERAGE(Dados!B14:B25)</f>
        <v>104.04833333333333</v>
      </c>
      <c r="C24" s="33">
        <f>AVERAGE(Dados!C14:C25)</f>
        <v>100.68916666666667</v>
      </c>
      <c r="D24" s="33">
        <f>AVERAGE(Dados!D14:D25)</f>
        <v>100.71833333333332</v>
      </c>
      <c r="E24" s="33">
        <f>AVERAGE(Dados!E14:E25)</f>
        <v>99.759166666666658</v>
      </c>
      <c r="F24" s="33">
        <f>AVERAGE(Dados!F14:F25)</f>
        <v>104.39833333333333</v>
      </c>
      <c r="G24" s="33">
        <f>AVERAGE(Dados!G14:G25)</f>
        <v>104.15416666666665</v>
      </c>
      <c r="H24" s="33">
        <f>AVERAGE(Dados!H14:H25)</f>
        <v>104.27333333333333</v>
      </c>
      <c r="I24" s="33">
        <f>AVERAGE(Dados!I14:I25)</f>
        <v>101.24583333333334</v>
      </c>
      <c r="J24" s="33">
        <f>AVERAGE(Dados!J14:J25)</f>
        <v>105.86166666666664</v>
      </c>
      <c r="K24" s="33">
        <f>AVERAGE(Dados!K14:K25)</f>
        <v>102.97333333333334</v>
      </c>
    </row>
    <row r="25" spans="1:11" x14ac:dyDescent="0.25">
      <c r="A25" s="32">
        <v>38200</v>
      </c>
      <c r="B25" s="33">
        <f>AVERAGE(Dados!B15:B26)</f>
        <v>104.745</v>
      </c>
      <c r="C25" s="33">
        <f>AVERAGE(Dados!C15:C26)</f>
        <v>101.28499999999998</v>
      </c>
      <c r="D25" s="33">
        <f>AVERAGE(Dados!D15:D26)</f>
        <v>101.09666666666668</v>
      </c>
      <c r="E25" s="33">
        <f>AVERAGE(Dados!E15:E26)</f>
        <v>100.02583333333332</v>
      </c>
      <c r="F25" s="33">
        <f>AVERAGE(Dados!F15:F26)</f>
        <v>105.01083333333332</v>
      </c>
      <c r="G25" s="33">
        <f>AVERAGE(Dados!G15:G26)</f>
        <v>104.5825</v>
      </c>
      <c r="H25" s="33">
        <f>AVERAGE(Dados!H15:H26)</f>
        <v>105.01083333333332</v>
      </c>
      <c r="I25" s="33">
        <f>AVERAGE(Dados!I15:I26)</f>
        <v>101.47500000000001</v>
      </c>
      <c r="J25" s="33">
        <f>AVERAGE(Dados!J15:J26)</f>
        <v>106.30416666666667</v>
      </c>
      <c r="K25" s="33">
        <f>AVERAGE(Dados!K15:K26)</f>
        <v>103.40083333333332</v>
      </c>
    </row>
    <row r="26" spans="1:11" x14ac:dyDescent="0.25">
      <c r="A26" s="32">
        <v>38231</v>
      </c>
      <c r="B26" s="33">
        <f>AVERAGE(Dados!B16:B27)</f>
        <v>105.39999999999999</v>
      </c>
      <c r="C26" s="33">
        <f>AVERAGE(Dados!C16:C27)</f>
        <v>101.78000000000002</v>
      </c>
      <c r="D26" s="33">
        <f>AVERAGE(Dados!D16:D27)</f>
        <v>101.44916666666667</v>
      </c>
      <c r="E26" s="33">
        <f>AVERAGE(Dados!E16:E27)</f>
        <v>100.45333333333332</v>
      </c>
      <c r="F26" s="33">
        <f>AVERAGE(Dados!F16:F27)</f>
        <v>105.67666666666663</v>
      </c>
      <c r="G26" s="33">
        <f>AVERAGE(Dados!G16:G27)</f>
        <v>104.62</v>
      </c>
      <c r="H26" s="33">
        <f>AVERAGE(Dados!H16:H27)</f>
        <v>105.54083333333334</v>
      </c>
      <c r="I26" s="33">
        <f>AVERAGE(Dados!I16:I27)</f>
        <v>101.69749999999999</v>
      </c>
      <c r="J26" s="33">
        <f>AVERAGE(Dados!J16:J27)</f>
        <v>106.77249999999999</v>
      </c>
      <c r="K26" s="33">
        <f>AVERAGE(Dados!K16:K27)</f>
        <v>103.61083333333333</v>
      </c>
    </row>
    <row r="27" spans="1:11" x14ac:dyDescent="0.25">
      <c r="A27" s="32">
        <v>38261</v>
      </c>
      <c r="B27" s="33">
        <f>AVERAGE(Dados!B17:B28)</f>
        <v>105.98416666666667</v>
      </c>
      <c r="C27" s="33">
        <f>AVERAGE(Dados!C17:C28)</f>
        <v>102.22000000000001</v>
      </c>
      <c r="D27" s="33">
        <f>AVERAGE(Dados!D17:D28)</f>
        <v>101.88916666666667</v>
      </c>
      <c r="E27" s="33">
        <f>AVERAGE(Dados!E17:E28)</f>
        <v>100.90916666666665</v>
      </c>
      <c r="F27" s="33">
        <f>AVERAGE(Dados!F17:F28)</f>
        <v>106.25916666666666</v>
      </c>
      <c r="G27" s="33">
        <f>AVERAGE(Dados!G17:G28)</f>
        <v>104.7925</v>
      </c>
      <c r="H27" s="33">
        <f>AVERAGE(Dados!H17:H28)</f>
        <v>106.03750000000002</v>
      </c>
      <c r="I27" s="33">
        <f>AVERAGE(Dados!I17:I28)</f>
        <v>101.94166666666666</v>
      </c>
      <c r="J27" s="33">
        <f>AVERAGE(Dados!J17:J28)</f>
        <v>107.07583333333334</v>
      </c>
      <c r="K27" s="33">
        <f>AVERAGE(Dados!K17:K28)</f>
        <v>103.94333333333333</v>
      </c>
    </row>
    <row r="28" spans="1:11" x14ac:dyDescent="0.25">
      <c r="A28" s="32">
        <v>38292</v>
      </c>
      <c r="B28" s="33">
        <f>AVERAGE(Dados!B18:B29)</f>
        <v>106.62249999999999</v>
      </c>
      <c r="C28" s="33">
        <f>AVERAGE(Dados!C18:C29)</f>
        <v>102.62666666666667</v>
      </c>
      <c r="D28" s="33">
        <f>AVERAGE(Dados!D18:D29)</f>
        <v>102.14749999999999</v>
      </c>
      <c r="E28" s="33">
        <f>AVERAGE(Dados!E18:E29)</f>
        <v>101.30416666666666</v>
      </c>
      <c r="F28" s="33">
        <f>AVERAGE(Dados!F18:F29)</f>
        <v>106.82250000000001</v>
      </c>
      <c r="G28" s="33">
        <f>AVERAGE(Dados!G18:G29)</f>
        <v>104.73166666666667</v>
      </c>
      <c r="H28" s="33">
        <f>AVERAGE(Dados!H18:H29)</f>
        <v>106.44083333333334</v>
      </c>
      <c r="I28" s="33">
        <f>AVERAGE(Dados!I18:I29)</f>
        <v>102.16583333333331</v>
      </c>
      <c r="J28" s="33">
        <f>AVERAGE(Dados!J18:J29)</f>
        <v>107.39416666666666</v>
      </c>
      <c r="K28" s="33">
        <f>AVERAGE(Dados!K18:K29)</f>
        <v>104.71</v>
      </c>
    </row>
    <row r="29" spans="1:11" x14ac:dyDescent="0.25">
      <c r="A29" s="32">
        <v>38322</v>
      </c>
      <c r="B29" s="33">
        <f>AVERAGE(Dados!B19:B30)</f>
        <v>107.23333333333335</v>
      </c>
      <c r="C29" s="33">
        <f>AVERAGE(Dados!C19:C30)</f>
        <v>102.95999999999998</v>
      </c>
      <c r="D29" s="33">
        <f>AVERAGE(Dados!D19:D30)</f>
        <v>102.645</v>
      </c>
      <c r="E29" s="33">
        <f>AVERAGE(Dados!E19:E30)</f>
        <v>101.92166666666664</v>
      </c>
      <c r="F29" s="33">
        <f>AVERAGE(Dados!F19:F30)</f>
        <v>107.54</v>
      </c>
      <c r="G29" s="33">
        <f>AVERAGE(Dados!G19:G30)</f>
        <v>105.17999999999999</v>
      </c>
      <c r="H29" s="33">
        <f>AVERAGE(Dados!H19:H30)</f>
        <v>107.16166666666668</v>
      </c>
      <c r="I29" s="33">
        <f>AVERAGE(Dados!I19:I30)</f>
        <v>102.57416666666666</v>
      </c>
      <c r="J29" s="33">
        <f>AVERAGE(Dados!J19:J30)</f>
        <v>108.02166666666666</v>
      </c>
      <c r="K29" s="33">
        <f>AVERAGE(Dados!K19:K30)</f>
        <v>105.32249999999999</v>
      </c>
    </row>
    <row r="30" spans="1:11" x14ac:dyDescent="0.25">
      <c r="A30" s="32">
        <v>38353</v>
      </c>
      <c r="B30" s="33">
        <f>AVERAGE(Dados!B20:B31)</f>
        <v>107.73833333333334</v>
      </c>
      <c r="C30" s="33">
        <f>AVERAGE(Dados!C20:C31)</f>
        <v>103.48</v>
      </c>
      <c r="D30" s="33">
        <f>AVERAGE(Dados!D20:D31)</f>
        <v>103.15250000000002</v>
      </c>
      <c r="E30" s="33">
        <f>AVERAGE(Dados!E20:E31)</f>
        <v>102.40249999999999</v>
      </c>
      <c r="F30" s="33">
        <f>AVERAGE(Dados!F20:F31)</f>
        <v>108.09249999999999</v>
      </c>
      <c r="G30" s="33">
        <f>AVERAGE(Dados!G20:G31)</f>
        <v>105.14333333333332</v>
      </c>
      <c r="H30" s="33">
        <f>AVERAGE(Dados!H20:H31)</f>
        <v>107.65833333333335</v>
      </c>
      <c r="I30" s="33">
        <f>AVERAGE(Dados!I20:I31)</f>
        <v>102.86416666666666</v>
      </c>
      <c r="J30" s="33">
        <f>AVERAGE(Dados!J20:J31)</f>
        <v>108.32916666666665</v>
      </c>
      <c r="K30" s="33">
        <f>AVERAGE(Dados!K20:K31)</f>
        <v>105.74416666666666</v>
      </c>
    </row>
    <row r="31" spans="1:11" x14ac:dyDescent="0.25">
      <c r="A31" s="32">
        <v>38384</v>
      </c>
      <c r="B31" s="33">
        <f>AVERAGE(Dados!B21:B32)</f>
        <v>108.22083333333335</v>
      </c>
      <c r="C31" s="33">
        <f>AVERAGE(Dados!C21:C32)</f>
        <v>103.95916666666666</v>
      </c>
      <c r="D31" s="33">
        <f>AVERAGE(Dados!D21:D32)</f>
        <v>103.72000000000001</v>
      </c>
      <c r="E31" s="33">
        <f>AVERAGE(Dados!E21:E32)</f>
        <v>102.79</v>
      </c>
      <c r="F31" s="33">
        <f>AVERAGE(Dados!F21:F32)</f>
        <v>108.73583333333333</v>
      </c>
      <c r="G31" s="33">
        <f>AVERAGE(Dados!G21:G32)</f>
        <v>105.11999999999999</v>
      </c>
      <c r="H31" s="33">
        <f>AVERAGE(Dados!H21:H32)</f>
        <v>107.99000000000001</v>
      </c>
      <c r="I31" s="33">
        <f>AVERAGE(Dados!I21:I32)</f>
        <v>103.26416666666665</v>
      </c>
      <c r="J31" s="33">
        <f>AVERAGE(Dados!J21:J32)</f>
        <v>108.61250000000001</v>
      </c>
      <c r="K31" s="33">
        <f>AVERAGE(Dados!K21:K32)</f>
        <v>106.15166666666664</v>
      </c>
    </row>
    <row r="32" spans="1:11" x14ac:dyDescent="0.25">
      <c r="A32" s="32">
        <v>38412</v>
      </c>
      <c r="B32" s="33">
        <f>AVERAGE(Dados!B22:B33)</f>
        <v>108.59666666666668</v>
      </c>
      <c r="C32" s="33">
        <f>AVERAGE(Dados!C22:C33)</f>
        <v>104.21083333333335</v>
      </c>
      <c r="D32" s="33">
        <f>AVERAGE(Dados!D22:D33)</f>
        <v>104.19750000000003</v>
      </c>
      <c r="E32" s="33">
        <f>AVERAGE(Dados!E22:E33)</f>
        <v>103.13083333333333</v>
      </c>
      <c r="F32" s="33">
        <f>AVERAGE(Dados!F22:F33)</f>
        <v>109.21249999999999</v>
      </c>
      <c r="G32" s="33">
        <f>AVERAGE(Dados!G22:G33)</f>
        <v>105.05083333333334</v>
      </c>
      <c r="H32" s="33">
        <f>AVERAGE(Dados!H22:H33)</f>
        <v>108.30749999999996</v>
      </c>
      <c r="I32" s="33">
        <f>AVERAGE(Dados!I22:I33)</f>
        <v>103.59500000000001</v>
      </c>
      <c r="J32" s="33">
        <f>AVERAGE(Dados!J22:J33)</f>
        <v>108.73333333333335</v>
      </c>
      <c r="K32" s="33">
        <f>AVERAGE(Dados!K22:K33)</f>
        <v>106.55666666666666</v>
      </c>
    </row>
    <row r="33" spans="1:11" x14ac:dyDescent="0.25">
      <c r="A33" s="32">
        <v>38443</v>
      </c>
      <c r="B33" s="33">
        <f>AVERAGE(Dados!B23:B34)</f>
        <v>108.97916666666667</v>
      </c>
      <c r="C33" s="33">
        <f>AVERAGE(Dados!C23:C34)</f>
        <v>104.38833333333336</v>
      </c>
      <c r="D33" s="33">
        <f>AVERAGE(Dados!D23:D34)</f>
        <v>104.51666666666667</v>
      </c>
      <c r="E33" s="33">
        <f>AVERAGE(Dados!E23:E34)</f>
        <v>103.50916666666666</v>
      </c>
      <c r="F33" s="33">
        <f>AVERAGE(Dados!F23:F34)</f>
        <v>109.56416666666668</v>
      </c>
      <c r="G33" s="33">
        <f>AVERAGE(Dados!G23:G34)</f>
        <v>103.6375</v>
      </c>
      <c r="H33" s="33">
        <f>AVERAGE(Dados!H23:H34)</f>
        <v>108.51166666666666</v>
      </c>
      <c r="I33" s="33">
        <f>AVERAGE(Dados!I23:I34)</f>
        <v>103.94833333333337</v>
      </c>
      <c r="J33" s="33">
        <f>AVERAGE(Dados!J23:J34)</f>
        <v>108.92083333333335</v>
      </c>
      <c r="K33" s="33">
        <f>AVERAGE(Dados!K23:K34)</f>
        <v>106.90083333333332</v>
      </c>
    </row>
    <row r="34" spans="1:11" x14ac:dyDescent="0.25">
      <c r="A34" s="32">
        <v>38473</v>
      </c>
      <c r="B34" s="33">
        <f>AVERAGE(Dados!B24:B35)</f>
        <v>109.36583333333336</v>
      </c>
      <c r="C34" s="33">
        <f>AVERAGE(Dados!C24:C35)</f>
        <v>104.57083333333337</v>
      </c>
      <c r="D34" s="33">
        <f>AVERAGE(Dados!D24:D35)</f>
        <v>104.85833333333333</v>
      </c>
      <c r="E34" s="33">
        <f>AVERAGE(Dados!E24:E35)</f>
        <v>103.87583333333333</v>
      </c>
      <c r="F34" s="33">
        <f>AVERAGE(Dados!F24:F35)</f>
        <v>109.98416666666668</v>
      </c>
      <c r="G34" s="33">
        <f>AVERAGE(Dados!G24:G35)</f>
        <v>103.54583333333335</v>
      </c>
      <c r="H34" s="33">
        <f>AVERAGE(Dados!H24:H35)</f>
        <v>108.735</v>
      </c>
      <c r="I34" s="33">
        <f>AVERAGE(Dados!I24:I35)</f>
        <v>104.38</v>
      </c>
      <c r="J34" s="33">
        <f>AVERAGE(Dados!J24:J35)</f>
        <v>109.23750000000003</v>
      </c>
      <c r="K34" s="33">
        <f>AVERAGE(Dados!K24:K35)</f>
        <v>107.15249999999999</v>
      </c>
    </row>
    <row r="35" spans="1:11" x14ac:dyDescent="0.25">
      <c r="A35" s="32">
        <v>38504</v>
      </c>
      <c r="B35" s="33">
        <f>AVERAGE(Dados!B25:B36)</f>
        <v>109.63166666666667</v>
      </c>
      <c r="C35" s="33">
        <f>AVERAGE(Dados!C25:C36)</f>
        <v>104.7025</v>
      </c>
      <c r="D35" s="33">
        <f>AVERAGE(Dados!D25:D36)</f>
        <v>105.20499999999998</v>
      </c>
      <c r="E35" s="33">
        <f>AVERAGE(Dados!E25:E36)</f>
        <v>104.20166666666667</v>
      </c>
      <c r="F35" s="33">
        <f>AVERAGE(Dados!F25:F36)</f>
        <v>110.42416666666668</v>
      </c>
      <c r="G35" s="33">
        <f>AVERAGE(Dados!G25:G36)</f>
        <v>103.65416666666665</v>
      </c>
      <c r="H35" s="33">
        <f>AVERAGE(Dados!H25:H36)</f>
        <v>109.00583333333334</v>
      </c>
      <c r="I35" s="33">
        <f>AVERAGE(Dados!I25:I36)</f>
        <v>104.63916666666667</v>
      </c>
      <c r="J35" s="33">
        <f>AVERAGE(Dados!J25:J36)</f>
        <v>109.67333333333335</v>
      </c>
      <c r="K35" s="33">
        <f>AVERAGE(Dados!K25:K36)</f>
        <v>107.38083333333334</v>
      </c>
    </row>
    <row r="36" spans="1:11" x14ac:dyDescent="0.25">
      <c r="A36" s="32">
        <v>38534</v>
      </c>
      <c r="B36" s="33">
        <f>AVERAGE(Dados!B26:B37)</f>
        <v>109.88000000000001</v>
      </c>
      <c r="C36" s="33">
        <f>AVERAGE(Dados!C26:C37)</f>
        <v>104.79916666666666</v>
      </c>
      <c r="D36" s="33">
        <f>AVERAGE(Dados!D26:D37)</f>
        <v>105.6675</v>
      </c>
      <c r="E36" s="33">
        <f>AVERAGE(Dados!E26:E37)</f>
        <v>104.43916666666667</v>
      </c>
      <c r="F36" s="33">
        <f>AVERAGE(Dados!F26:F37)</f>
        <v>110.69833333333332</v>
      </c>
      <c r="G36" s="33">
        <f>AVERAGE(Dados!G26:G37)</f>
        <v>103.58</v>
      </c>
      <c r="H36" s="33">
        <f>AVERAGE(Dados!H26:H37)</f>
        <v>109.13250000000001</v>
      </c>
      <c r="I36" s="33">
        <f>AVERAGE(Dados!I26:I37)</f>
        <v>104.94333333333333</v>
      </c>
      <c r="J36" s="33">
        <f>AVERAGE(Dados!J26:J37)</f>
        <v>109.78833333333334</v>
      </c>
      <c r="K36" s="33">
        <f>AVERAGE(Dados!K26:K37)</f>
        <v>108.03250000000001</v>
      </c>
    </row>
    <row r="37" spans="1:11" x14ac:dyDescent="0.25">
      <c r="A37" s="32">
        <v>38565</v>
      </c>
      <c r="B37" s="33">
        <f>AVERAGE(Dados!B27:B38)</f>
        <v>110.12916666666668</v>
      </c>
      <c r="C37" s="33">
        <f>AVERAGE(Dados!C27:C38)</f>
        <v>104.98499999999997</v>
      </c>
      <c r="D37" s="33">
        <f>AVERAGE(Dados!D27:D38)</f>
        <v>106.06166666666667</v>
      </c>
      <c r="E37" s="33">
        <f>AVERAGE(Dados!E27:E38)</f>
        <v>104.56583333333333</v>
      </c>
      <c r="F37" s="33">
        <f>AVERAGE(Dados!F27:F38)</f>
        <v>111.06416666666667</v>
      </c>
      <c r="G37" s="33">
        <f>AVERAGE(Dados!G27:G38)</f>
        <v>103.6225</v>
      </c>
      <c r="H37" s="33">
        <f>AVERAGE(Dados!H27:H38)</f>
        <v>109.13083333333334</v>
      </c>
      <c r="I37" s="33">
        <f>AVERAGE(Dados!I27:I38)</f>
        <v>105.30916666666668</v>
      </c>
      <c r="J37" s="33">
        <f>AVERAGE(Dados!J27:J38)</f>
        <v>109.63583333333334</v>
      </c>
      <c r="K37" s="33">
        <f>AVERAGE(Dados!K27:K38)</f>
        <v>108.76500000000003</v>
      </c>
    </row>
    <row r="38" spans="1:11" x14ac:dyDescent="0.25">
      <c r="A38" s="32">
        <v>38596</v>
      </c>
      <c r="B38" s="33">
        <f>AVERAGE(Dados!B28:B39)</f>
        <v>110.25166666666667</v>
      </c>
      <c r="C38" s="33">
        <f>AVERAGE(Dados!C28:C39)</f>
        <v>105.22249999999997</v>
      </c>
      <c r="D38" s="33">
        <f>AVERAGE(Dados!D28:D39)</f>
        <v>106.36416666666666</v>
      </c>
      <c r="E38" s="33">
        <f>AVERAGE(Dados!E28:E39)</f>
        <v>104.55083333333333</v>
      </c>
      <c r="F38" s="33">
        <f>AVERAGE(Dados!F28:F39)</f>
        <v>111.30249999999999</v>
      </c>
      <c r="G38" s="33">
        <f>AVERAGE(Dados!G28:G39)</f>
        <v>103.6425</v>
      </c>
      <c r="H38" s="33">
        <f>AVERAGE(Dados!H28:H39)</f>
        <v>109.00166666666667</v>
      </c>
      <c r="I38" s="33">
        <f>AVERAGE(Dados!I28:I39)</f>
        <v>105.72083333333335</v>
      </c>
      <c r="J38" s="33">
        <f>AVERAGE(Dados!J28:J39)</f>
        <v>109.61833333333334</v>
      </c>
      <c r="K38" s="33">
        <f>AVERAGE(Dados!K28:K39)</f>
        <v>109.25416666666668</v>
      </c>
    </row>
    <row r="39" spans="1:11" x14ac:dyDescent="0.25">
      <c r="A39" s="32">
        <v>38626</v>
      </c>
      <c r="B39" s="33">
        <f>AVERAGE(Dados!B29:B40)</f>
        <v>110.43</v>
      </c>
      <c r="C39" s="33">
        <f>AVERAGE(Dados!C29:C40)</f>
        <v>105.50333333333332</v>
      </c>
      <c r="D39" s="33">
        <f>AVERAGE(Dados!D29:D40)</f>
        <v>106.64249999999998</v>
      </c>
      <c r="E39" s="33">
        <f>AVERAGE(Dados!E29:E40)</f>
        <v>104.6925</v>
      </c>
      <c r="F39" s="33">
        <f>AVERAGE(Dados!F29:F40)</f>
        <v>111.53249999999998</v>
      </c>
      <c r="G39" s="33">
        <f>AVERAGE(Dados!G29:G40)</f>
        <v>103.40083333333335</v>
      </c>
      <c r="H39" s="33">
        <f>AVERAGE(Dados!H29:H40)</f>
        <v>108.9875</v>
      </c>
      <c r="I39" s="33">
        <f>AVERAGE(Dados!I29:I40)</f>
        <v>106.02416666666666</v>
      </c>
      <c r="J39" s="33">
        <f>AVERAGE(Dados!J29:J40)</f>
        <v>109.52583333333332</v>
      </c>
      <c r="K39" s="33">
        <f>AVERAGE(Dados!K29:K40)</f>
        <v>109.66416666666667</v>
      </c>
    </row>
    <row r="40" spans="1:11" x14ac:dyDescent="0.25">
      <c r="A40" s="32">
        <v>38657</v>
      </c>
      <c r="B40" s="33">
        <f>AVERAGE(Dados!B30:B41)</f>
        <v>110.61083333333333</v>
      </c>
      <c r="C40" s="33">
        <f>AVERAGE(Dados!C30:C41)</f>
        <v>105.77666666666664</v>
      </c>
      <c r="D40" s="33">
        <f>AVERAGE(Dados!D30:D41)</f>
        <v>107.19083333333333</v>
      </c>
      <c r="E40" s="33">
        <f>AVERAGE(Dados!E30:E41)</f>
        <v>104.84249999999997</v>
      </c>
      <c r="F40" s="33">
        <f>AVERAGE(Dados!F30:F41)</f>
        <v>111.79333333333331</v>
      </c>
      <c r="G40" s="33">
        <f>AVERAGE(Dados!G30:G41)</f>
        <v>103.24083333333334</v>
      </c>
      <c r="H40" s="33">
        <f>AVERAGE(Dados!H30:H41)</f>
        <v>109.13333333333334</v>
      </c>
      <c r="I40" s="33">
        <f>AVERAGE(Dados!I30:I41)</f>
        <v>106.43666666666667</v>
      </c>
      <c r="J40" s="33">
        <f>AVERAGE(Dados!J30:J41)</f>
        <v>109.36749999999996</v>
      </c>
      <c r="K40" s="33">
        <f>AVERAGE(Dados!K30:K41)</f>
        <v>109.97333333333334</v>
      </c>
    </row>
    <row r="41" spans="1:11" x14ac:dyDescent="0.25">
      <c r="A41" s="32">
        <v>38687</v>
      </c>
      <c r="B41" s="33">
        <f>AVERAGE(Dados!B31:B42)</f>
        <v>110.88583333333334</v>
      </c>
      <c r="C41" s="33">
        <f>AVERAGE(Dados!C31:C42)</f>
        <v>106.00583333333331</v>
      </c>
      <c r="D41" s="33">
        <f>AVERAGE(Dados!D31:D42)</f>
        <v>107.62833333333334</v>
      </c>
      <c r="E41" s="33">
        <f>AVERAGE(Dados!E31:E42)</f>
        <v>104.95499999999998</v>
      </c>
      <c r="F41" s="33">
        <f>AVERAGE(Dados!F31:F42)</f>
        <v>112.05999999999999</v>
      </c>
      <c r="G41" s="33">
        <f>AVERAGE(Dados!G31:G42)</f>
        <v>103.08</v>
      </c>
      <c r="H41" s="33">
        <f>AVERAGE(Dados!H31:H42)</f>
        <v>109.11666666666666</v>
      </c>
      <c r="I41" s="33">
        <f>AVERAGE(Dados!I31:I42)</f>
        <v>106.71499999999999</v>
      </c>
      <c r="J41" s="33">
        <f>AVERAGE(Dados!J31:J42)</f>
        <v>109.26583333333332</v>
      </c>
      <c r="K41" s="33">
        <f>AVERAGE(Dados!K31:K42)</f>
        <v>110.51833333333332</v>
      </c>
    </row>
    <row r="42" spans="1:11" x14ac:dyDescent="0.25">
      <c r="A42" s="32">
        <v>38718</v>
      </c>
      <c r="B42" s="33">
        <f>AVERAGE(Dados!B32:B43)</f>
        <v>111.19166666666668</v>
      </c>
      <c r="C42" s="33">
        <f>AVERAGE(Dados!C32:C43)</f>
        <v>106.31083333333332</v>
      </c>
      <c r="D42" s="33">
        <f>AVERAGE(Dados!D32:D43)</f>
        <v>108.01750000000003</v>
      </c>
      <c r="E42" s="33">
        <f>AVERAGE(Dados!E32:E43)</f>
        <v>105.47083333333332</v>
      </c>
      <c r="F42" s="33">
        <f>AVERAGE(Dados!F32:F43)</f>
        <v>112.46249999999999</v>
      </c>
      <c r="G42" s="33">
        <f>AVERAGE(Dados!G32:G43)</f>
        <v>103.30416666666667</v>
      </c>
      <c r="H42" s="33">
        <f>AVERAGE(Dados!H32:H43)</f>
        <v>109.33666666666666</v>
      </c>
      <c r="I42" s="33">
        <f>AVERAGE(Dados!I32:I43)</f>
        <v>107.17916666666667</v>
      </c>
      <c r="J42" s="33">
        <f>AVERAGE(Dados!J32:J43)</f>
        <v>109.44666666666666</v>
      </c>
      <c r="K42" s="33">
        <f>AVERAGE(Dados!K32:K43)</f>
        <v>111.13249999999999</v>
      </c>
    </row>
    <row r="43" spans="1:11" x14ac:dyDescent="0.25">
      <c r="A43" s="32">
        <v>38749</v>
      </c>
      <c r="B43" s="33">
        <f>AVERAGE(Dados!B33:B44)</f>
        <v>111.47249999999998</v>
      </c>
      <c r="C43" s="33">
        <f>AVERAGE(Dados!C33:C44)</f>
        <v>106.69916666666667</v>
      </c>
      <c r="D43" s="33">
        <f>AVERAGE(Dados!D33:D44)</f>
        <v>108.32</v>
      </c>
      <c r="E43" s="33">
        <f>AVERAGE(Dados!E33:E44)</f>
        <v>105.96666666666665</v>
      </c>
      <c r="F43" s="33">
        <f>AVERAGE(Dados!F33:F44)</f>
        <v>112.93833333333333</v>
      </c>
      <c r="G43" s="33">
        <f>AVERAGE(Dados!G33:G44)</f>
        <v>103.55250000000001</v>
      </c>
      <c r="H43" s="33">
        <f>AVERAGE(Dados!H33:H44)</f>
        <v>109.57166666666666</v>
      </c>
      <c r="I43" s="33">
        <f>AVERAGE(Dados!I33:I44)</f>
        <v>107.71083333333335</v>
      </c>
      <c r="J43" s="33">
        <f>AVERAGE(Dados!J33:J44)</f>
        <v>109.44333333333333</v>
      </c>
      <c r="K43" s="33">
        <f>AVERAGE(Dados!K33:K44)</f>
        <v>111.7325</v>
      </c>
    </row>
    <row r="44" spans="1:11" x14ac:dyDescent="0.25">
      <c r="A44" s="32">
        <v>38777</v>
      </c>
      <c r="B44" s="33">
        <f>AVERAGE(Dados!B34:B45)</f>
        <v>111.75333333333333</v>
      </c>
      <c r="C44" s="33">
        <f>AVERAGE(Dados!C34:C45)</f>
        <v>106.96000000000002</v>
      </c>
      <c r="D44" s="33">
        <f>AVERAGE(Dados!D34:D45)</f>
        <v>108.58499999999998</v>
      </c>
      <c r="E44" s="33">
        <f>AVERAGE(Dados!E34:E45)</f>
        <v>106.53083333333335</v>
      </c>
      <c r="F44" s="33">
        <f>AVERAGE(Dados!F34:F45)</f>
        <v>113.38249999999999</v>
      </c>
      <c r="G44" s="33">
        <f>AVERAGE(Dados!G34:G45)</f>
        <v>103.10000000000001</v>
      </c>
      <c r="H44" s="33">
        <f>AVERAGE(Dados!H34:H45)</f>
        <v>109.60416666666667</v>
      </c>
      <c r="I44" s="33">
        <f>AVERAGE(Dados!I34:I45)</f>
        <v>108.05000000000001</v>
      </c>
      <c r="J44" s="33">
        <f>AVERAGE(Dados!J34:J45)</f>
        <v>109.07583333333334</v>
      </c>
      <c r="K44" s="33">
        <f>AVERAGE(Dados!K34:K45)</f>
        <v>112.24833333333333</v>
      </c>
    </row>
    <row r="45" spans="1:11" x14ac:dyDescent="0.25">
      <c r="A45" s="32">
        <v>38808</v>
      </c>
      <c r="B45" s="33">
        <f>AVERAGE(Dados!B35:B46)</f>
        <v>112.00833333333333</v>
      </c>
      <c r="C45" s="33">
        <f>AVERAGE(Dados!C35:C46)</f>
        <v>107.29416666666668</v>
      </c>
      <c r="D45" s="33">
        <f>AVERAGE(Dados!D35:D46)</f>
        <v>109.08916666666664</v>
      </c>
      <c r="E45" s="33">
        <f>AVERAGE(Dados!E35:E46)</f>
        <v>107.09833333333331</v>
      </c>
      <c r="F45" s="33">
        <f>AVERAGE(Dados!F35:F46)</f>
        <v>113.86333333333333</v>
      </c>
      <c r="G45" s="33">
        <f>AVERAGE(Dados!G35:G46)</f>
        <v>104.11083333333333</v>
      </c>
      <c r="H45" s="33">
        <f>AVERAGE(Dados!H35:H46)</f>
        <v>109.66833333333334</v>
      </c>
      <c r="I45" s="33">
        <f>AVERAGE(Dados!I35:I46)</f>
        <v>108.37416666666665</v>
      </c>
      <c r="J45" s="33">
        <f>AVERAGE(Dados!J35:J46)</f>
        <v>108.94750000000001</v>
      </c>
      <c r="K45" s="33">
        <f>AVERAGE(Dados!K35:K46)</f>
        <v>112.81416666666667</v>
      </c>
    </row>
    <row r="46" spans="1:11" x14ac:dyDescent="0.25">
      <c r="A46" s="32">
        <v>38838</v>
      </c>
      <c r="B46" s="33">
        <f>AVERAGE(Dados!B36:B47)</f>
        <v>112.39583333333333</v>
      </c>
      <c r="C46" s="33">
        <f>AVERAGE(Dados!C36:C47)</f>
        <v>107.79583333333335</v>
      </c>
      <c r="D46" s="33">
        <f>AVERAGE(Dados!D36:D47)</f>
        <v>109.43249999999996</v>
      </c>
      <c r="E46" s="33">
        <f>AVERAGE(Dados!E36:E47)</f>
        <v>107.84833333333334</v>
      </c>
      <c r="F46" s="33">
        <f>AVERAGE(Dados!F36:F47)</f>
        <v>114.38499999999999</v>
      </c>
      <c r="G46" s="33">
        <f>AVERAGE(Dados!G36:G47)</f>
        <v>104.3875</v>
      </c>
      <c r="H46" s="33">
        <f>AVERAGE(Dados!H36:H47)</f>
        <v>109.94916666666667</v>
      </c>
      <c r="I46" s="33">
        <f>AVERAGE(Dados!I36:I47)</f>
        <v>108.64166666666664</v>
      </c>
      <c r="J46" s="33">
        <f>AVERAGE(Dados!J36:J47)</f>
        <v>109.16250000000001</v>
      </c>
      <c r="K46" s="33">
        <f>AVERAGE(Dados!K36:K47)</f>
        <v>113.25916666666666</v>
      </c>
    </row>
    <row r="47" spans="1:11" x14ac:dyDescent="0.25">
      <c r="A47" s="32">
        <v>38869</v>
      </c>
      <c r="B47" s="33">
        <f>AVERAGE(Dados!B37:B48)</f>
        <v>112.75416666666666</v>
      </c>
      <c r="C47" s="33">
        <f>AVERAGE(Dados!C37:C48)</f>
        <v>108.31833333333333</v>
      </c>
      <c r="D47" s="33">
        <f>AVERAGE(Dados!D37:D48)</f>
        <v>109.84749999999998</v>
      </c>
      <c r="E47" s="33">
        <f>AVERAGE(Dados!E37:E48)</f>
        <v>108.59666666666668</v>
      </c>
      <c r="F47" s="33">
        <f>AVERAGE(Dados!F37:F48)</f>
        <v>114.73833333333334</v>
      </c>
      <c r="G47" s="33">
        <f>AVERAGE(Dados!G37:G48)</f>
        <v>104.50000000000001</v>
      </c>
      <c r="H47" s="33">
        <f>AVERAGE(Dados!H37:H48)</f>
        <v>110.03583333333336</v>
      </c>
      <c r="I47" s="33">
        <f>AVERAGE(Dados!I37:I48)</f>
        <v>108.86666666666666</v>
      </c>
      <c r="J47" s="33">
        <f>AVERAGE(Dados!J37:J48)</f>
        <v>109.31666666666666</v>
      </c>
      <c r="K47" s="33">
        <f>AVERAGE(Dados!K37:K48)</f>
        <v>113.23416666666668</v>
      </c>
    </row>
    <row r="48" spans="1:11" x14ac:dyDescent="0.25">
      <c r="A48" s="32">
        <v>38899</v>
      </c>
      <c r="B48" s="33">
        <f>AVERAGE(Dados!B38:B49)</f>
        <v>113.26833333333333</v>
      </c>
      <c r="C48" s="33">
        <f>AVERAGE(Dados!C38:C49)</f>
        <v>108.98583333333333</v>
      </c>
      <c r="D48" s="33">
        <f>AVERAGE(Dados!D38:D49)</f>
        <v>110.32083333333331</v>
      </c>
      <c r="E48" s="33">
        <f>AVERAGE(Dados!E38:E49)</f>
        <v>109.46249999999999</v>
      </c>
      <c r="F48" s="33">
        <f>AVERAGE(Dados!F38:F49)</f>
        <v>115.27416666666669</v>
      </c>
      <c r="G48" s="33">
        <f>AVERAGE(Dados!G38:G49)</f>
        <v>104.76583333333336</v>
      </c>
      <c r="H48" s="33">
        <f>AVERAGE(Dados!H38:H49)</f>
        <v>110.41500000000001</v>
      </c>
      <c r="I48" s="33">
        <f>AVERAGE(Dados!I38:I49)</f>
        <v>109.22333333333334</v>
      </c>
      <c r="J48" s="33">
        <f>AVERAGE(Dados!J38:J49)</f>
        <v>109.51</v>
      </c>
      <c r="K48" s="33">
        <f>AVERAGE(Dados!K38:K49)</f>
        <v>112.82833333333333</v>
      </c>
    </row>
    <row r="49" spans="1:11" x14ac:dyDescent="0.25">
      <c r="A49" s="32">
        <v>38930</v>
      </c>
      <c r="B49" s="33">
        <f>AVERAGE(Dados!B39:B50)</f>
        <v>113.71083333333333</v>
      </c>
      <c r="C49" s="33">
        <f>AVERAGE(Dados!C39:C50)</f>
        <v>109.51083333333331</v>
      </c>
      <c r="D49" s="33">
        <f>AVERAGE(Dados!D39:D50)</f>
        <v>110.70749999999998</v>
      </c>
      <c r="E49" s="33">
        <f>AVERAGE(Dados!E39:E50)</f>
        <v>110.33166666666666</v>
      </c>
      <c r="F49" s="33">
        <f>AVERAGE(Dados!F39:F50)</f>
        <v>115.72166666666669</v>
      </c>
      <c r="G49" s="33">
        <f>AVERAGE(Dados!G39:G50)</f>
        <v>104.97583333333334</v>
      </c>
      <c r="H49" s="33">
        <f>AVERAGE(Dados!H39:H50)</f>
        <v>110.78083333333332</v>
      </c>
      <c r="I49" s="33">
        <f>AVERAGE(Dados!I39:I50)</f>
        <v>109.48833333333334</v>
      </c>
      <c r="J49" s="33">
        <f>AVERAGE(Dados!J39:J50)</f>
        <v>109.75</v>
      </c>
      <c r="K49" s="33">
        <f>AVERAGE(Dados!K39:K50)</f>
        <v>112.89749999999999</v>
      </c>
    </row>
    <row r="50" spans="1:11" x14ac:dyDescent="0.25">
      <c r="A50" s="32">
        <v>38961</v>
      </c>
      <c r="B50" s="33">
        <f>AVERAGE(Dados!B40:B51)</f>
        <v>114.21083333333331</v>
      </c>
      <c r="C50" s="33">
        <f>AVERAGE(Dados!C40:C51)</f>
        <v>109.97166666666665</v>
      </c>
      <c r="D50" s="33">
        <f>AVERAGE(Dados!D40:D51)</f>
        <v>111.23333333333333</v>
      </c>
      <c r="E50" s="33">
        <f>AVERAGE(Dados!E40:E51)</f>
        <v>111.12916666666666</v>
      </c>
      <c r="F50" s="33">
        <f>AVERAGE(Dados!F40:F51)</f>
        <v>116.09666666666668</v>
      </c>
      <c r="G50" s="33">
        <f>AVERAGE(Dados!G40:G51)</f>
        <v>105.3725</v>
      </c>
      <c r="H50" s="33">
        <f>AVERAGE(Dados!H40:H51)</f>
        <v>111.32000000000001</v>
      </c>
      <c r="I50" s="33">
        <f>AVERAGE(Dados!I40:I51)</f>
        <v>109.70499999999998</v>
      </c>
      <c r="J50" s="33">
        <f>AVERAGE(Dados!J40:J51)</f>
        <v>109.65583333333335</v>
      </c>
      <c r="K50" s="33">
        <f>AVERAGE(Dados!K40:K51)</f>
        <v>113.23333333333335</v>
      </c>
    </row>
    <row r="51" spans="1:11" x14ac:dyDescent="0.25">
      <c r="A51" s="32">
        <v>38991</v>
      </c>
      <c r="B51" s="33">
        <f>AVERAGE(Dados!B41:B52)</f>
        <v>114.80666666666667</v>
      </c>
      <c r="C51" s="33">
        <f>AVERAGE(Dados!C41:C52)</f>
        <v>110.44666666666664</v>
      </c>
      <c r="D51" s="33">
        <f>AVERAGE(Dados!D41:D52)</f>
        <v>111.83666666666666</v>
      </c>
      <c r="E51" s="33">
        <f>AVERAGE(Dados!E41:E52)</f>
        <v>111.88999999999999</v>
      </c>
      <c r="F51" s="33">
        <f>AVERAGE(Dados!F41:F52)</f>
        <v>116.54250000000002</v>
      </c>
      <c r="G51" s="33">
        <f>AVERAGE(Dados!G41:G52)</f>
        <v>105.81583333333332</v>
      </c>
      <c r="H51" s="33">
        <f>AVERAGE(Dados!H41:H52)</f>
        <v>111.76083333333332</v>
      </c>
      <c r="I51" s="33">
        <f>AVERAGE(Dados!I41:I52)</f>
        <v>109.97750000000001</v>
      </c>
      <c r="J51" s="33">
        <f>AVERAGE(Dados!J41:J52)</f>
        <v>109.95083333333336</v>
      </c>
      <c r="K51" s="33">
        <f>AVERAGE(Dados!K41:K52)</f>
        <v>113.63249999999998</v>
      </c>
    </row>
    <row r="52" spans="1:11" x14ac:dyDescent="0.25">
      <c r="A52" s="32">
        <v>39022</v>
      </c>
      <c r="B52" s="33">
        <f>AVERAGE(Dados!B42:B53)</f>
        <v>115.39166666666665</v>
      </c>
      <c r="C52" s="33">
        <f>AVERAGE(Dados!C42:C53)</f>
        <v>110.95083333333334</v>
      </c>
      <c r="D52" s="33">
        <f>AVERAGE(Dados!D42:D53)</f>
        <v>112.31500000000001</v>
      </c>
      <c r="E52" s="33">
        <f>AVERAGE(Dados!E42:E53)</f>
        <v>112.4875</v>
      </c>
      <c r="F52" s="33">
        <f>AVERAGE(Dados!F42:F53)</f>
        <v>116.93416666666668</v>
      </c>
      <c r="G52" s="33">
        <f>AVERAGE(Dados!G42:G53)</f>
        <v>106.12833333333333</v>
      </c>
      <c r="H52" s="33">
        <f>AVERAGE(Dados!H42:H53)</f>
        <v>112.05833333333334</v>
      </c>
      <c r="I52" s="33">
        <f>AVERAGE(Dados!I42:I53)</f>
        <v>110.2</v>
      </c>
      <c r="J52" s="33">
        <f>AVERAGE(Dados!J42:J53)</f>
        <v>110.37166666666667</v>
      </c>
      <c r="K52" s="33">
        <f>AVERAGE(Dados!K42:K53)</f>
        <v>114.03750000000002</v>
      </c>
    </row>
    <row r="53" spans="1:11" x14ac:dyDescent="0.25">
      <c r="A53" s="32">
        <v>39052</v>
      </c>
      <c r="B53" s="33">
        <f>AVERAGE(Dados!B43:B54)</f>
        <v>116.04916666666666</v>
      </c>
      <c r="C53" s="33">
        <f>AVERAGE(Dados!C43:C54)</f>
        <v>111.54666666666668</v>
      </c>
      <c r="D53" s="33">
        <f>AVERAGE(Dados!D43:D54)</f>
        <v>112.70249999999999</v>
      </c>
      <c r="E53" s="33">
        <f>AVERAGE(Dados!E43:E54)</f>
        <v>112.94333333333331</v>
      </c>
      <c r="F53" s="33">
        <f>AVERAGE(Dados!F43:F54)</f>
        <v>117.38</v>
      </c>
      <c r="G53" s="33">
        <f>AVERAGE(Dados!G43:G54)</f>
        <v>106.51249999999999</v>
      </c>
      <c r="H53" s="33">
        <f>AVERAGE(Dados!H43:H54)</f>
        <v>112.50166666666667</v>
      </c>
      <c r="I53" s="33">
        <f>AVERAGE(Dados!I43:I54)</f>
        <v>110.46583333333335</v>
      </c>
      <c r="J53" s="33">
        <f>AVERAGE(Dados!J43:J54)</f>
        <v>110.94666666666666</v>
      </c>
      <c r="K53" s="33">
        <f>AVERAGE(Dados!K43:K54)</f>
        <v>114.10416666666664</v>
      </c>
    </row>
    <row r="54" spans="1:11" x14ac:dyDescent="0.25">
      <c r="A54" s="32">
        <v>39083</v>
      </c>
      <c r="B54" s="33">
        <f>AVERAGE(Dados!B44:B55)</f>
        <v>116.57916666666667</v>
      </c>
      <c r="C54" s="33">
        <f>AVERAGE(Dados!C44:C55)</f>
        <v>112.08916666666669</v>
      </c>
      <c r="D54" s="33">
        <f>AVERAGE(Dados!D44:D55)</f>
        <v>113.09333333333332</v>
      </c>
      <c r="E54" s="33">
        <f>AVERAGE(Dados!E44:E55)</f>
        <v>113.21916666666668</v>
      </c>
      <c r="F54" s="33">
        <f>AVERAGE(Dados!F44:F55)</f>
        <v>117.80083333333333</v>
      </c>
      <c r="G54" s="33">
        <f>AVERAGE(Dados!G44:G55)</f>
        <v>106.88499999999999</v>
      </c>
      <c r="H54" s="33">
        <f>AVERAGE(Dados!H44:H55)</f>
        <v>112.87666666666667</v>
      </c>
      <c r="I54" s="33">
        <f>AVERAGE(Dados!I44:I55)</f>
        <v>110.67916666666667</v>
      </c>
      <c r="J54" s="33">
        <f>AVERAGE(Dados!J44:J55)</f>
        <v>111.25666666666666</v>
      </c>
      <c r="K54" s="33">
        <f>AVERAGE(Dados!K44:K55)</f>
        <v>114.42333333333333</v>
      </c>
    </row>
    <row r="55" spans="1:11" x14ac:dyDescent="0.25">
      <c r="A55" s="32">
        <v>39114</v>
      </c>
      <c r="B55" s="33">
        <f>AVERAGE(Dados!B45:B56)</f>
        <v>117.12416666666665</v>
      </c>
      <c r="C55" s="33">
        <f>AVERAGE(Dados!C45:C56)</f>
        <v>112.60666666666667</v>
      </c>
      <c r="D55" s="33">
        <f>AVERAGE(Dados!D45:D56)</f>
        <v>113.5675</v>
      </c>
      <c r="E55" s="33">
        <f>AVERAGE(Dados!E45:E56)</f>
        <v>113.58333333333331</v>
      </c>
      <c r="F55" s="33">
        <f>AVERAGE(Dados!F45:F56)</f>
        <v>118.34583333333335</v>
      </c>
      <c r="G55" s="33">
        <f>AVERAGE(Dados!G45:G56)</f>
        <v>107.52416666666666</v>
      </c>
      <c r="H55" s="33">
        <f>AVERAGE(Dados!H45:H56)</f>
        <v>113.64416666666665</v>
      </c>
      <c r="I55" s="33">
        <f>AVERAGE(Dados!I45:I56)</f>
        <v>110.8725</v>
      </c>
      <c r="J55" s="33">
        <f>AVERAGE(Dados!J45:J56)</f>
        <v>111.77</v>
      </c>
      <c r="K55" s="33">
        <f>AVERAGE(Dados!K45:K56)</f>
        <v>114.59999999999998</v>
      </c>
    </row>
    <row r="56" spans="1:11" x14ac:dyDescent="0.25">
      <c r="A56" s="32">
        <v>39142</v>
      </c>
      <c r="B56" s="33">
        <f>AVERAGE(Dados!B46:B57)</f>
        <v>117.60666666666667</v>
      </c>
      <c r="C56" s="33">
        <f>AVERAGE(Dados!C46:C57)</f>
        <v>113.21833333333332</v>
      </c>
      <c r="D56" s="33">
        <f>AVERAGE(Dados!D46:D57)</f>
        <v>114.05249999999999</v>
      </c>
      <c r="E56" s="33">
        <f>AVERAGE(Dados!E46:E57)</f>
        <v>113.86333333333334</v>
      </c>
      <c r="F56" s="33">
        <f>AVERAGE(Dados!F46:F57)</f>
        <v>118.86166666666669</v>
      </c>
      <c r="G56" s="33">
        <f>AVERAGE(Dados!G46:G57)</f>
        <v>108.14083333333336</v>
      </c>
      <c r="H56" s="33">
        <f>AVERAGE(Dados!H46:H57)</f>
        <v>114.18083333333334</v>
      </c>
      <c r="I56" s="33">
        <f>AVERAGE(Dados!I46:I57)</f>
        <v>111.24083333333334</v>
      </c>
      <c r="J56" s="33">
        <f>AVERAGE(Dados!J46:J57)</f>
        <v>112.48666666666668</v>
      </c>
      <c r="K56" s="33">
        <f>AVERAGE(Dados!K46:K57)</f>
        <v>114.83833333333332</v>
      </c>
    </row>
    <row r="57" spans="1:11" x14ac:dyDescent="0.25">
      <c r="A57" s="32">
        <v>39173</v>
      </c>
      <c r="B57" s="33">
        <f>AVERAGE(Dados!B47:B58)</f>
        <v>118.20166666666665</v>
      </c>
      <c r="C57" s="33">
        <f>AVERAGE(Dados!C47:C58)</f>
        <v>113.77999999999997</v>
      </c>
      <c r="D57" s="33">
        <f>AVERAGE(Dados!D47:D58)</f>
        <v>114.54666666666668</v>
      </c>
      <c r="E57" s="33">
        <f>AVERAGE(Dados!E47:E58)</f>
        <v>114.11416666666666</v>
      </c>
      <c r="F57" s="33">
        <f>AVERAGE(Dados!F47:F58)</f>
        <v>119.48083333333334</v>
      </c>
      <c r="G57" s="33">
        <f>AVERAGE(Dados!G47:G58)</f>
        <v>108.99416666666666</v>
      </c>
      <c r="H57" s="33">
        <f>AVERAGE(Dados!H47:H58)</f>
        <v>114.96750000000002</v>
      </c>
      <c r="I57" s="33">
        <f>AVERAGE(Dados!I47:I58)</f>
        <v>111.58499999999999</v>
      </c>
      <c r="J57" s="33">
        <f>AVERAGE(Dados!J47:J58)</f>
        <v>113.21333333333332</v>
      </c>
      <c r="K57" s="33">
        <f>AVERAGE(Dados!K47:K58)</f>
        <v>115.03833333333334</v>
      </c>
    </row>
    <row r="58" spans="1:11" x14ac:dyDescent="0.25">
      <c r="A58" s="32">
        <v>39203</v>
      </c>
      <c r="B58" s="33">
        <f>AVERAGE(Dados!B48:B59)</f>
        <v>118.76083333333334</v>
      </c>
      <c r="C58" s="33">
        <f>AVERAGE(Dados!C48:C59)</f>
        <v>114.31083333333333</v>
      </c>
      <c r="D58" s="33">
        <f>AVERAGE(Dados!D48:D59)</f>
        <v>115.13666666666667</v>
      </c>
      <c r="E58" s="33">
        <f>AVERAGE(Dados!E48:E59)</f>
        <v>114.21916666666665</v>
      </c>
      <c r="F58" s="33">
        <f>AVERAGE(Dados!F48:F59)</f>
        <v>120.04166666666667</v>
      </c>
      <c r="G58" s="33">
        <f>AVERAGE(Dados!G48:G59)</f>
        <v>109.54916666666666</v>
      </c>
      <c r="H58" s="33">
        <f>AVERAGE(Dados!H48:H59)</f>
        <v>115.59333333333336</v>
      </c>
      <c r="I58" s="33">
        <f>AVERAGE(Dados!I48:I59)</f>
        <v>111.86583333333334</v>
      </c>
      <c r="J58" s="33">
        <f>AVERAGE(Dados!J48:J59)</f>
        <v>113.66583333333334</v>
      </c>
      <c r="K58" s="33">
        <f>AVERAGE(Dados!K48:K59)</f>
        <v>115.37833333333334</v>
      </c>
    </row>
    <row r="59" spans="1:11" x14ac:dyDescent="0.25">
      <c r="A59" s="32">
        <v>39234</v>
      </c>
      <c r="B59" s="33">
        <f>AVERAGE(Dados!B49:B60)</f>
        <v>119.48</v>
      </c>
      <c r="C59" s="33">
        <f>AVERAGE(Dados!C49:C60)</f>
        <v>114.66166666666665</v>
      </c>
      <c r="D59" s="33">
        <f>AVERAGE(Dados!D49:D60)</f>
        <v>115.73416666666668</v>
      </c>
      <c r="E59" s="33">
        <f>AVERAGE(Dados!E49:E60)</f>
        <v>114.33499999999999</v>
      </c>
      <c r="F59" s="33">
        <f>AVERAGE(Dados!F49:F60)</f>
        <v>120.82833333333333</v>
      </c>
      <c r="G59" s="33">
        <f>AVERAGE(Dados!G49:G60)</f>
        <v>109.90249999999999</v>
      </c>
      <c r="H59" s="33">
        <f>AVERAGE(Dados!H49:H60)</f>
        <v>116.33083333333333</v>
      </c>
      <c r="I59" s="33">
        <f>AVERAGE(Dados!I49:I60)</f>
        <v>112.30333333333334</v>
      </c>
      <c r="J59" s="33">
        <f>AVERAGE(Dados!J49:J60)</f>
        <v>114.29666666666668</v>
      </c>
      <c r="K59" s="33">
        <f>AVERAGE(Dados!K49:K60)</f>
        <v>115.74666666666667</v>
      </c>
    </row>
    <row r="60" spans="1:11" x14ac:dyDescent="0.25">
      <c r="A60" s="32">
        <v>39264</v>
      </c>
      <c r="B60" s="33">
        <f>AVERAGE(Dados!B50:B61)</f>
        <v>120.09333333333335</v>
      </c>
      <c r="C60" s="33">
        <f>AVERAGE(Dados!C50:C61)</f>
        <v>114.96999999999998</v>
      </c>
      <c r="D60" s="33">
        <f>AVERAGE(Dados!D50:D61)</f>
        <v>116.1825</v>
      </c>
      <c r="E60" s="33">
        <f>AVERAGE(Dados!E50:E61)</f>
        <v>114.27666666666666</v>
      </c>
      <c r="F60" s="33">
        <f>AVERAGE(Dados!F50:F61)</f>
        <v>121.54249999999998</v>
      </c>
      <c r="G60" s="33">
        <f>AVERAGE(Dados!G50:G61)</f>
        <v>110.37083333333334</v>
      </c>
      <c r="H60" s="33">
        <f>AVERAGE(Dados!H50:H61)</f>
        <v>116.90666666666665</v>
      </c>
      <c r="I60" s="33">
        <f>AVERAGE(Dados!I50:I61)</f>
        <v>112.55666666666669</v>
      </c>
      <c r="J60" s="33">
        <f>AVERAGE(Dados!J50:J61)</f>
        <v>114.95416666666667</v>
      </c>
      <c r="K60" s="33">
        <f>AVERAGE(Dados!K50:K61)</f>
        <v>116.19</v>
      </c>
    </row>
    <row r="61" spans="1:11" x14ac:dyDescent="0.25">
      <c r="A61" s="32">
        <v>39295</v>
      </c>
      <c r="B61" s="33">
        <f>AVERAGE(Dados!B51:B62)</f>
        <v>120.74416666666667</v>
      </c>
      <c r="C61" s="33">
        <f>AVERAGE(Dados!C51:C62)</f>
        <v>115.605</v>
      </c>
      <c r="D61" s="33">
        <f>AVERAGE(Dados!D51:D62)</f>
        <v>116.67833333333334</v>
      </c>
      <c r="E61" s="33">
        <f>AVERAGE(Dados!E51:E62)</f>
        <v>114.27999999999999</v>
      </c>
      <c r="F61" s="33">
        <f>AVERAGE(Dados!F51:F62)</f>
        <v>122.37666666666667</v>
      </c>
      <c r="G61" s="33">
        <f>AVERAGE(Dados!G51:G62)</f>
        <v>110.82583333333332</v>
      </c>
      <c r="H61" s="33">
        <f>AVERAGE(Dados!H51:H62)</f>
        <v>117.62333333333333</v>
      </c>
      <c r="I61" s="33">
        <f>AVERAGE(Dados!I51:I62)</f>
        <v>112.88833333333332</v>
      </c>
      <c r="J61" s="33">
        <f>AVERAGE(Dados!J51:J62)</f>
        <v>115.735</v>
      </c>
      <c r="K61" s="33">
        <f>AVERAGE(Dados!K51:K62)</f>
        <v>116.62833333333333</v>
      </c>
    </row>
    <row r="62" spans="1:11" x14ac:dyDescent="0.25">
      <c r="A62" s="32">
        <v>39326</v>
      </c>
      <c r="B62" s="33">
        <f>AVERAGE(Dados!B52:B63)</f>
        <v>121.43916666666667</v>
      </c>
      <c r="C62" s="33">
        <f>AVERAGE(Dados!C52:C63)</f>
        <v>116.20749999999998</v>
      </c>
      <c r="D62" s="33">
        <f>AVERAGE(Dados!D52:D63)</f>
        <v>117.14333333333332</v>
      </c>
      <c r="E62" s="33">
        <f>AVERAGE(Dados!E52:E63)</f>
        <v>114.51749999999998</v>
      </c>
      <c r="F62" s="33">
        <f>AVERAGE(Dados!F52:F63)</f>
        <v>123.32666666666667</v>
      </c>
      <c r="G62" s="33">
        <f>AVERAGE(Dados!G52:G63)</f>
        <v>111.22583333333334</v>
      </c>
      <c r="H62" s="33">
        <f>AVERAGE(Dados!H52:H63)</f>
        <v>118.36833333333334</v>
      </c>
      <c r="I62" s="33">
        <f>AVERAGE(Dados!I52:I63)</f>
        <v>113.13666666666667</v>
      </c>
      <c r="J62" s="33">
        <f>AVERAGE(Dados!J52:J63)</f>
        <v>116.6075</v>
      </c>
      <c r="K62" s="33">
        <f>AVERAGE(Dados!K52:K63)</f>
        <v>116.98</v>
      </c>
    </row>
    <row r="63" spans="1:11" x14ac:dyDescent="0.25">
      <c r="A63" s="32">
        <v>39356</v>
      </c>
      <c r="B63" s="33">
        <f>AVERAGE(Dados!B53:B64)</f>
        <v>122.10416666666667</v>
      </c>
      <c r="C63" s="33">
        <f>AVERAGE(Dados!C53:C64)</f>
        <v>116.90416666666665</v>
      </c>
      <c r="D63" s="33">
        <f>AVERAGE(Dados!D53:D64)</f>
        <v>117.69749999999999</v>
      </c>
      <c r="E63" s="33">
        <f>AVERAGE(Dados!E53:E64)</f>
        <v>115.21</v>
      </c>
      <c r="F63" s="33">
        <f>AVERAGE(Dados!F53:F64)</f>
        <v>124.38666666666666</v>
      </c>
      <c r="G63" s="33">
        <f>AVERAGE(Dados!G53:G64)</f>
        <v>111.72666666666665</v>
      </c>
      <c r="H63" s="33">
        <f>AVERAGE(Dados!H53:H64)</f>
        <v>119.14333333333333</v>
      </c>
      <c r="I63" s="33">
        <f>AVERAGE(Dados!I53:I64)</f>
        <v>113.47166666666668</v>
      </c>
      <c r="J63" s="33">
        <f>AVERAGE(Dados!J53:J64)</f>
        <v>117.4525</v>
      </c>
      <c r="K63" s="33">
        <f>AVERAGE(Dados!K53:K64)</f>
        <v>117.53166666666668</v>
      </c>
    </row>
    <row r="64" spans="1:11" x14ac:dyDescent="0.25">
      <c r="A64" s="32">
        <v>39387</v>
      </c>
      <c r="B64" s="33">
        <f>AVERAGE(Dados!B54:B65)</f>
        <v>122.71166666666669</v>
      </c>
      <c r="C64" s="33">
        <f>AVERAGE(Dados!C54:C65)</f>
        <v>117.68833333333329</v>
      </c>
      <c r="D64" s="33">
        <f>AVERAGE(Dados!D54:D65)</f>
        <v>118.29416666666664</v>
      </c>
      <c r="E64" s="33">
        <f>AVERAGE(Dados!E54:E65)</f>
        <v>115.60666666666668</v>
      </c>
      <c r="F64" s="33">
        <f>AVERAGE(Dados!F54:F65)</f>
        <v>125.3875</v>
      </c>
      <c r="G64" s="33">
        <f>AVERAGE(Dados!G54:G65)</f>
        <v>112.53249999999998</v>
      </c>
      <c r="H64" s="33">
        <f>AVERAGE(Dados!H54:H65)</f>
        <v>119.97083333333332</v>
      </c>
      <c r="I64" s="33">
        <f>AVERAGE(Dados!I54:I65)</f>
        <v>113.80500000000001</v>
      </c>
      <c r="J64" s="33">
        <f>AVERAGE(Dados!J54:J65)</f>
        <v>118.16250000000001</v>
      </c>
      <c r="K64" s="33">
        <f>AVERAGE(Dados!K54:K65)</f>
        <v>118.12416666666667</v>
      </c>
    </row>
    <row r="65" spans="1:11" x14ac:dyDescent="0.25">
      <c r="A65" s="32">
        <v>39417</v>
      </c>
      <c r="B65" s="33">
        <f>AVERAGE(Dados!B55:B66)</f>
        <v>123.28749999999997</v>
      </c>
      <c r="C65" s="33">
        <f>AVERAGE(Dados!C55:C66)</f>
        <v>118.37</v>
      </c>
      <c r="D65" s="33">
        <f>AVERAGE(Dados!D55:D66)</f>
        <v>119.10166666666667</v>
      </c>
      <c r="E65" s="33">
        <f>AVERAGE(Dados!E55:E66)</f>
        <v>116.09750000000003</v>
      </c>
      <c r="F65" s="33">
        <f>AVERAGE(Dados!F55:F66)</f>
        <v>126.24833333333333</v>
      </c>
      <c r="G65" s="33">
        <f>AVERAGE(Dados!G55:G66)</f>
        <v>113.17583333333334</v>
      </c>
      <c r="H65" s="33">
        <f>AVERAGE(Dados!H55:H66)</f>
        <v>120.52333333333333</v>
      </c>
      <c r="I65" s="33">
        <f>AVERAGE(Dados!I55:I66)</f>
        <v>114.12750000000001</v>
      </c>
      <c r="J65" s="33">
        <f>AVERAGE(Dados!J55:J66)</f>
        <v>118.80166666666668</v>
      </c>
      <c r="K65" s="33">
        <f>AVERAGE(Dados!K55:K66)</f>
        <v>118.86000000000001</v>
      </c>
    </row>
    <row r="66" spans="1:11" x14ac:dyDescent="0.25">
      <c r="A66" s="32">
        <v>39448</v>
      </c>
      <c r="B66" s="33">
        <f>AVERAGE(Dados!B56:B67)</f>
        <v>123.91500000000001</v>
      </c>
      <c r="C66" s="33">
        <f>AVERAGE(Dados!C56:C67)</f>
        <v>119.02499999999999</v>
      </c>
      <c r="D66" s="33">
        <f>AVERAGE(Dados!D56:D67)</f>
        <v>119.84583333333335</v>
      </c>
      <c r="E66" s="33">
        <f>AVERAGE(Dados!E56:E67)</f>
        <v>116.44</v>
      </c>
      <c r="F66" s="33">
        <f>AVERAGE(Dados!F56:F67)</f>
        <v>127.21416666666669</v>
      </c>
      <c r="G66" s="33">
        <f>AVERAGE(Dados!G56:G67)</f>
        <v>113.65666666666668</v>
      </c>
      <c r="H66" s="33">
        <f>AVERAGE(Dados!H56:H67)</f>
        <v>120.97750000000001</v>
      </c>
      <c r="I66" s="33">
        <f>AVERAGE(Dados!I56:I67)</f>
        <v>114.48666666666666</v>
      </c>
      <c r="J66" s="33">
        <f>AVERAGE(Dados!J56:J67)</f>
        <v>119.47833333333335</v>
      </c>
      <c r="K66" s="33">
        <f>AVERAGE(Dados!K56:K67)</f>
        <v>119.45916666666669</v>
      </c>
    </row>
    <row r="67" spans="1:11" x14ac:dyDescent="0.25">
      <c r="A67" s="32">
        <v>39479</v>
      </c>
      <c r="B67" s="33">
        <f>AVERAGE(Dados!B57:B68)</f>
        <v>124.44916666666667</v>
      </c>
      <c r="C67" s="33">
        <f>AVERAGE(Dados!C57:C68)</f>
        <v>119.46416666666669</v>
      </c>
      <c r="D67" s="33">
        <f>AVERAGE(Dados!D57:D68)</f>
        <v>120.5575</v>
      </c>
      <c r="E67" s="33">
        <f>AVERAGE(Dados!E57:E68)</f>
        <v>116.86666666666666</v>
      </c>
      <c r="F67" s="33">
        <f>AVERAGE(Dados!F57:F68)</f>
        <v>127.86666666666667</v>
      </c>
      <c r="G67" s="33">
        <f>AVERAGE(Dados!G57:G68)</f>
        <v>113.88333333333331</v>
      </c>
      <c r="H67" s="33">
        <f>AVERAGE(Dados!H57:H68)</f>
        <v>121.17333333333333</v>
      </c>
      <c r="I67" s="33">
        <f>AVERAGE(Dados!I57:I68)</f>
        <v>114.6075</v>
      </c>
      <c r="J67" s="33">
        <f>AVERAGE(Dados!J57:J68)</f>
        <v>119.93333333333334</v>
      </c>
      <c r="K67" s="33">
        <f>AVERAGE(Dados!K57:K68)</f>
        <v>120.30416666666667</v>
      </c>
    </row>
    <row r="68" spans="1:11" x14ac:dyDescent="0.25">
      <c r="A68" s="32">
        <v>39508</v>
      </c>
      <c r="B68" s="33">
        <f>AVERAGE(Dados!B58:B69)</f>
        <v>125.03500000000001</v>
      </c>
      <c r="C68" s="33">
        <f>AVERAGE(Dados!C58:C69)</f>
        <v>120.08416666666666</v>
      </c>
      <c r="D68" s="33">
        <f>AVERAGE(Dados!D58:D69)</f>
        <v>121.35583333333334</v>
      </c>
      <c r="E68" s="33">
        <f>AVERAGE(Dados!E58:E69)</f>
        <v>117.48333333333335</v>
      </c>
      <c r="F68" s="33">
        <f>AVERAGE(Dados!F58:F69)</f>
        <v>128.80416666666665</v>
      </c>
      <c r="G68" s="33">
        <f>AVERAGE(Dados!G58:G69)</f>
        <v>114.70666666666666</v>
      </c>
      <c r="H68" s="33">
        <f>AVERAGE(Dados!H58:H69)</f>
        <v>121.80833333333334</v>
      </c>
      <c r="I68" s="33">
        <f>AVERAGE(Dados!I58:I69)</f>
        <v>114.88083333333334</v>
      </c>
      <c r="J68" s="33">
        <f>AVERAGE(Dados!J58:J69)</f>
        <v>120.56916666666666</v>
      </c>
      <c r="K68" s="33">
        <f>AVERAGE(Dados!K58:K69)</f>
        <v>120.90416666666668</v>
      </c>
    </row>
    <row r="69" spans="1:11" x14ac:dyDescent="0.25">
      <c r="A69" s="32">
        <v>39539</v>
      </c>
      <c r="B69" s="33">
        <f>AVERAGE(Dados!B59:B70)</f>
        <v>125.57333333333332</v>
      </c>
      <c r="C69" s="33">
        <f>AVERAGE(Dados!C59:C70)</f>
        <v>120.74</v>
      </c>
      <c r="D69" s="33">
        <f>AVERAGE(Dados!D59:D70)</f>
        <v>121.84083333333332</v>
      </c>
      <c r="E69" s="33">
        <f>AVERAGE(Dados!E59:E70)</f>
        <v>118.00916666666666</v>
      </c>
      <c r="F69" s="33">
        <f>AVERAGE(Dados!F59:F70)</f>
        <v>129.66583333333332</v>
      </c>
      <c r="G69" s="33">
        <f>AVERAGE(Dados!G59:G70)</f>
        <v>114.30583333333333</v>
      </c>
      <c r="H69" s="33">
        <f>AVERAGE(Dados!H59:H70)</f>
        <v>122.26666666666667</v>
      </c>
      <c r="I69" s="33">
        <f>AVERAGE(Dados!I59:I70)</f>
        <v>115.12083333333335</v>
      </c>
      <c r="J69" s="33">
        <f>AVERAGE(Dados!J59:J70)</f>
        <v>121.19499999999999</v>
      </c>
      <c r="K69" s="33">
        <f>AVERAGE(Dados!K59:K70)</f>
        <v>121.55500000000001</v>
      </c>
    </row>
    <row r="70" spans="1:11" x14ac:dyDescent="0.25">
      <c r="A70" s="32">
        <v>39569</v>
      </c>
      <c r="B70" s="33">
        <f>AVERAGE(Dados!B60:B71)</f>
        <v>126.18</v>
      </c>
      <c r="C70" s="33">
        <f>AVERAGE(Dados!C60:C71)</f>
        <v>121.37333333333333</v>
      </c>
      <c r="D70" s="33">
        <f>AVERAGE(Dados!D60:D71)</f>
        <v>122.34083333333332</v>
      </c>
      <c r="E70" s="33">
        <f>AVERAGE(Dados!E60:E71)</f>
        <v>118.70916666666665</v>
      </c>
      <c r="F70" s="33">
        <f>AVERAGE(Dados!F60:F71)</f>
        <v>130.49499999999998</v>
      </c>
      <c r="G70" s="33">
        <f>AVERAGE(Dados!G60:G71)</f>
        <v>114.55999999999999</v>
      </c>
      <c r="H70" s="33">
        <f>AVERAGE(Dados!H60:H71)</f>
        <v>122.63</v>
      </c>
      <c r="I70" s="33">
        <f>AVERAGE(Dados!I60:I71)</f>
        <v>115.50833333333334</v>
      </c>
      <c r="J70" s="33">
        <f>AVERAGE(Dados!J60:J71)</f>
        <v>121.78666666666668</v>
      </c>
      <c r="K70" s="33">
        <f>AVERAGE(Dados!K60:K71)</f>
        <v>122.12416666666668</v>
      </c>
    </row>
    <row r="71" spans="1:11" x14ac:dyDescent="0.25">
      <c r="A71" s="32">
        <v>39600</v>
      </c>
      <c r="B71" s="33">
        <f>AVERAGE(Dados!B61:B72)</f>
        <v>126.81416666666665</v>
      </c>
      <c r="C71" s="33">
        <f>AVERAGE(Dados!C61:C72)</f>
        <v>122.32083333333334</v>
      </c>
      <c r="D71" s="33">
        <f>AVERAGE(Dados!D61:D72)</f>
        <v>122.87249999999999</v>
      </c>
      <c r="E71" s="33">
        <f>AVERAGE(Dados!E61:E72)</f>
        <v>119.66500000000002</v>
      </c>
      <c r="F71" s="33">
        <f>AVERAGE(Dados!F61:F72)</f>
        <v>131.44749999999999</v>
      </c>
      <c r="G71" s="33">
        <f>AVERAGE(Dados!G61:G72)</f>
        <v>115.36083333333335</v>
      </c>
      <c r="H71" s="33">
        <f>AVERAGE(Dados!H61:H72)</f>
        <v>123.26583333333333</v>
      </c>
      <c r="I71" s="33">
        <f>AVERAGE(Dados!I61:I72)</f>
        <v>115.96250000000002</v>
      </c>
      <c r="J71" s="33">
        <f>AVERAGE(Dados!J61:J72)</f>
        <v>122.53083333333335</v>
      </c>
      <c r="K71" s="33">
        <f>AVERAGE(Dados!K61:K72)</f>
        <v>122.77166666666669</v>
      </c>
    </row>
    <row r="72" spans="1:11" x14ac:dyDescent="0.25">
      <c r="A72" s="32">
        <v>39630</v>
      </c>
      <c r="B72" s="33">
        <f>AVERAGE(Dados!B62:B73)</f>
        <v>127.36416666666666</v>
      </c>
      <c r="C72" s="33">
        <f>AVERAGE(Dados!C62:C73)</f>
        <v>123.16833333333335</v>
      </c>
      <c r="D72" s="33">
        <f>AVERAGE(Dados!D62:D73)</f>
        <v>123.40333333333331</v>
      </c>
      <c r="E72" s="33">
        <f>AVERAGE(Dados!E62:E73)</f>
        <v>120.62583333333335</v>
      </c>
      <c r="F72" s="33">
        <f>AVERAGE(Dados!F62:F73)</f>
        <v>132.315</v>
      </c>
      <c r="G72" s="33">
        <f>AVERAGE(Dados!G62:G73)</f>
        <v>115.76249999999997</v>
      </c>
      <c r="H72" s="33">
        <f>AVERAGE(Dados!H62:H73)</f>
        <v>123.82916666666665</v>
      </c>
      <c r="I72" s="33">
        <f>AVERAGE(Dados!I62:I73)</f>
        <v>116.41916666666667</v>
      </c>
      <c r="J72" s="33">
        <f>AVERAGE(Dados!J62:J73)</f>
        <v>123.27999999999999</v>
      </c>
      <c r="K72" s="33">
        <f>AVERAGE(Dados!K62:K73)</f>
        <v>123.43666666666668</v>
      </c>
    </row>
    <row r="73" spans="1:11" x14ac:dyDescent="0.25">
      <c r="A73" s="32">
        <v>39661</v>
      </c>
      <c r="B73" s="33">
        <f>AVERAGE(Dados!B63:B74)</f>
        <v>127.92583333333333</v>
      </c>
      <c r="C73" s="33">
        <f>AVERAGE(Dados!C63:C74)</f>
        <v>123.71666666666668</v>
      </c>
      <c r="D73" s="33">
        <f>AVERAGE(Dados!D63:D74)</f>
        <v>124.03083333333331</v>
      </c>
      <c r="E73" s="33">
        <f>AVERAGE(Dados!E63:E74)</f>
        <v>121.70833333333336</v>
      </c>
      <c r="F73" s="33">
        <f>AVERAGE(Dados!F63:F74)</f>
        <v>132.9725</v>
      </c>
      <c r="G73" s="33">
        <f>AVERAGE(Dados!G63:G74)</f>
        <v>116.18083333333334</v>
      </c>
      <c r="H73" s="33">
        <f>AVERAGE(Dados!H63:H74)</f>
        <v>124.37166666666667</v>
      </c>
      <c r="I73" s="33">
        <f>AVERAGE(Dados!I63:I74)</f>
        <v>116.83333333333336</v>
      </c>
      <c r="J73" s="33">
        <f>AVERAGE(Dados!J63:J74)</f>
        <v>123.92416666666668</v>
      </c>
      <c r="K73" s="33">
        <f>AVERAGE(Dados!K63:K74)</f>
        <v>124.05499999999999</v>
      </c>
    </row>
    <row r="74" spans="1:11" x14ac:dyDescent="0.25">
      <c r="A74" s="32">
        <v>39692</v>
      </c>
      <c r="B74" s="33">
        <f>AVERAGE(Dados!B64:B75)</f>
        <v>128.38083333333333</v>
      </c>
      <c r="C74" s="33">
        <f>AVERAGE(Dados!C64:C75)</f>
        <v>124.30833333333334</v>
      </c>
      <c r="D74" s="33">
        <f>AVERAGE(Dados!D64:D75)</f>
        <v>124.71916666666665</v>
      </c>
      <c r="E74" s="33">
        <f>AVERAGE(Dados!E64:E75)</f>
        <v>122.51583333333333</v>
      </c>
      <c r="F74" s="33">
        <f>AVERAGE(Dados!F64:F75)</f>
        <v>133.70166666666665</v>
      </c>
      <c r="G74" s="33">
        <f>AVERAGE(Dados!G64:G75)</f>
        <v>116.85749999999997</v>
      </c>
      <c r="H74" s="33">
        <f>AVERAGE(Dados!H64:H75)</f>
        <v>124.97666666666667</v>
      </c>
      <c r="I74" s="33">
        <f>AVERAGE(Dados!I64:I75)</f>
        <v>117.36166666666668</v>
      </c>
      <c r="J74" s="33">
        <f>AVERAGE(Dados!J64:J75)</f>
        <v>124.82250000000001</v>
      </c>
      <c r="K74" s="33">
        <f>AVERAGE(Dados!K64:K75)</f>
        <v>124.67416666666668</v>
      </c>
    </row>
    <row r="75" spans="1:11" x14ac:dyDescent="0.25">
      <c r="A75" s="32">
        <v>39722</v>
      </c>
      <c r="B75" s="33">
        <f>AVERAGE(Dados!B65:B76)</f>
        <v>128.54833333333332</v>
      </c>
      <c r="C75" s="33">
        <f>AVERAGE(Dados!C65:C76)</f>
        <v>124.69499999999999</v>
      </c>
      <c r="D75" s="33">
        <f>AVERAGE(Dados!D65:D76)</f>
        <v>125.13083333333333</v>
      </c>
      <c r="E75" s="33">
        <f>AVERAGE(Dados!E65:E76)</f>
        <v>123.0625</v>
      </c>
      <c r="F75" s="33">
        <f>AVERAGE(Dados!F65:F76)</f>
        <v>134.08250000000001</v>
      </c>
      <c r="G75" s="33">
        <f>AVERAGE(Dados!G65:G76)</f>
        <v>117.21083333333333</v>
      </c>
      <c r="H75" s="33">
        <f>AVERAGE(Dados!H65:H76)</f>
        <v>125.17500000000001</v>
      </c>
      <c r="I75" s="33">
        <f>AVERAGE(Dados!I65:I76)</f>
        <v>117.76583333333333</v>
      </c>
      <c r="J75" s="33">
        <f>AVERAGE(Dados!J65:J76)</f>
        <v>125.34583333333335</v>
      </c>
      <c r="K75" s="33">
        <f>AVERAGE(Dados!K65:K76)</f>
        <v>124.895</v>
      </c>
    </row>
    <row r="76" spans="1:11" x14ac:dyDescent="0.25">
      <c r="A76" s="32">
        <v>39753</v>
      </c>
      <c r="B76" s="33">
        <f>AVERAGE(Dados!B66:B77)</f>
        <v>128.44749999999999</v>
      </c>
      <c r="C76" s="33">
        <f>AVERAGE(Dados!C66:C77)</f>
        <v>124.58499999999999</v>
      </c>
      <c r="D76" s="33">
        <f>AVERAGE(Dados!D66:D77)</f>
        <v>125.45416666666669</v>
      </c>
      <c r="E76" s="33">
        <f>AVERAGE(Dados!E66:E77)</f>
        <v>123.30250000000001</v>
      </c>
      <c r="F76" s="33">
        <f>AVERAGE(Dados!F66:F77)</f>
        <v>134.32250000000002</v>
      </c>
      <c r="G76" s="33">
        <f>AVERAGE(Dados!G66:G77)</f>
        <v>117.15916666666665</v>
      </c>
      <c r="H76" s="33">
        <f>AVERAGE(Dados!H66:H77)</f>
        <v>125.14833333333333</v>
      </c>
      <c r="I76" s="33">
        <f>AVERAGE(Dados!I66:I77)</f>
        <v>118.05333333333334</v>
      </c>
      <c r="J76" s="33">
        <f>AVERAGE(Dados!J66:J77)</f>
        <v>125.78583333333334</v>
      </c>
      <c r="K76" s="33">
        <f>AVERAGE(Dados!K66:K77)</f>
        <v>125.08666666666666</v>
      </c>
    </row>
    <row r="77" spans="1:11" x14ac:dyDescent="0.25">
      <c r="A77" s="32">
        <v>39783</v>
      </c>
      <c r="B77" s="33">
        <f>AVERAGE(Dados!B67:B78)</f>
        <v>127.9491666666667</v>
      </c>
      <c r="C77" s="33">
        <f>AVERAGE(Dados!C67:C78)</f>
        <v>124.16583333333331</v>
      </c>
      <c r="D77" s="33">
        <f>AVERAGE(Dados!D67:D78)</f>
        <v>125.49500000000002</v>
      </c>
      <c r="E77" s="33">
        <f>AVERAGE(Dados!E67:E78)</f>
        <v>123.42666666666668</v>
      </c>
      <c r="F77" s="33">
        <f>AVERAGE(Dados!F67:F78)</f>
        <v>134.08250000000001</v>
      </c>
      <c r="G77" s="33">
        <f>AVERAGE(Dados!G67:G78)</f>
        <v>116.75583333333333</v>
      </c>
      <c r="H77" s="33">
        <f>AVERAGE(Dados!H67:H78)</f>
        <v>124.88</v>
      </c>
      <c r="I77" s="33">
        <f>AVERAGE(Dados!I67:I78)</f>
        <v>118.15583333333335</v>
      </c>
      <c r="J77" s="33">
        <f>AVERAGE(Dados!J67:J78)</f>
        <v>125.61</v>
      </c>
      <c r="K77" s="33">
        <f>AVERAGE(Dados!K67:K78)</f>
        <v>125.12583333333332</v>
      </c>
    </row>
    <row r="78" spans="1:11" x14ac:dyDescent="0.25">
      <c r="A78" s="32">
        <v>39814</v>
      </c>
      <c r="B78" s="33">
        <f>AVERAGE(Dados!B68:B79)</f>
        <v>127.42083333333335</v>
      </c>
      <c r="C78" s="33">
        <f>AVERAGE(Dados!C68:C79)</f>
        <v>123.62666666666667</v>
      </c>
      <c r="D78" s="33">
        <f>AVERAGE(Dados!D68:D79)</f>
        <v>125.745</v>
      </c>
      <c r="E78" s="33">
        <f>AVERAGE(Dados!E68:E79)</f>
        <v>123.61583333333334</v>
      </c>
      <c r="F78" s="33">
        <f>AVERAGE(Dados!F68:F79)</f>
        <v>133.90833333333333</v>
      </c>
      <c r="G78" s="33">
        <f>AVERAGE(Dados!G68:G79)</f>
        <v>116.455</v>
      </c>
      <c r="H78" s="33">
        <f>AVERAGE(Dados!H68:H79)</f>
        <v>124.92166666666667</v>
      </c>
      <c r="I78" s="33">
        <f>AVERAGE(Dados!I68:I79)</f>
        <v>118.34416666666665</v>
      </c>
      <c r="J78" s="33">
        <f>AVERAGE(Dados!J68:J79)</f>
        <v>125.41000000000001</v>
      </c>
      <c r="K78" s="33">
        <f>AVERAGE(Dados!K68:K79)</f>
        <v>124.82666666666667</v>
      </c>
    </row>
    <row r="79" spans="1:11" x14ac:dyDescent="0.25">
      <c r="A79" s="32">
        <v>39845</v>
      </c>
      <c r="B79" s="33">
        <f>AVERAGE(Dados!B69:B80)</f>
        <v>127.05666666666667</v>
      </c>
      <c r="C79" s="33">
        <f>AVERAGE(Dados!C69:C80)</f>
        <v>123.50999999999999</v>
      </c>
      <c r="D79" s="33">
        <f>AVERAGE(Dados!D69:D80)</f>
        <v>125.85083333333331</v>
      </c>
      <c r="E79" s="33">
        <f>AVERAGE(Dados!E69:E80)</f>
        <v>123.8</v>
      </c>
      <c r="F79" s="33">
        <f>AVERAGE(Dados!F69:F80)</f>
        <v>133.96416666666664</v>
      </c>
      <c r="G79" s="33">
        <f>AVERAGE(Dados!G69:G80)</f>
        <v>116.29333333333335</v>
      </c>
      <c r="H79" s="33">
        <f>AVERAGE(Dados!H69:H80)</f>
        <v>125.02666666666666</v>
      </c>
      <c r="I79" s="33">
        <f>AVERAGE(Dados!I69:I80)</f>
        <v>118.77916666666665</v>
      </c>
      <c r="J79" s="33">
        <f>AVERAGE(Dados!J69:J80)</f>
        <v>125.46916666666665</v>
      </c>
      <c r="K79" s="33">
        <f>AVERAGE(Dados!K69:K80)</f>
        <v>124.60166666666669</v>
      </c>
    </row>
    <row r="80" spans="1:11" x14ac:dyDescent="0.25">
      <c r="A80" s="32">
        <v>39873</v>
      </c>
      <c r="B80" s="33">
        <f>AVERAGE(Dados!B70:B81)</f>
        <v>126.76833333333333</v>
      </c>
      <c r="C80" s="33">
        <f>AVERAGE(Dados!C70:C81)</f>
        <v>123.25583333333333</v>
      </c>
      <c r="D80" s="33">
        <f>AVERAGE(Dados!D70:D81)</f>
        <v>125.94249999999998</v>
      </c>
      <c r="E80" s="33">
        <f>AVERAGE(Dados!E70:E81)</f>
        <v>123.83416666666666</v>
      </c>
      <c r="F80" s="33">
        <f>AVERAGE(Dados!F70:F81)</f>
        <v>133.73666666666665</v>
      </c>
      <c r="G80" s="33">
        <f>AVERAGE(Dados!G70:G81)</f>
        <v>116.04416666666668</v>
      </c>
      <c r="H80" s="33">
        <f>AVERAGE(Dados!H70:H81)</f>
        <v>124.92749999999999</v>
      </c>
      <c r="I80" s="33">
        <f>AVERAGE(Dados!I70:I81)</f>
        <v>119.11666666666667</v>
      </c>
      <c r="J80" s="33">
        <f>AVERAGE(Dados!J70:J81)</f>
        <v>125.26333333333332</v>
      </c>
      <c r="K80" s="33">
        <f>AVERAGE(Dados!K70:K81)</f>
        <v>124.52583333333335</v>
      </c>
    </row>
    <row r="81" spans="1:11" x14ac:dyDescent="0.25">
      <c r="A81" s="32">
        <v>39904</v>
      </c>
      <c r="B81" s="33">
        <f>AVERAGE(Dados!B71:B82)</f>
        <v>126.42250000000001</v>
      </c>
      <c r="C81" s="33">
        <f>AVERAGE(Dados!C71:C82)</f>
        <v>122.91833333333334</v>
      </c>
      <c r="D81" s="33">
        <f>AVERAGE(Dados!D71:D82)</f>
        <v>126.25333333333332</v>
      </c>
      <c r="E81" s="33">
        <f>AVERAGE(Dados!E71:E82)</f>
        <v>123.99249999999999</v>
      </c>
      <c r="F81" s="33">
        <f>AVERAGE(Dados!F71:F82)</f>
        <v>133.55666666666667</v>
      </c>
      <c r="G81" s="33">
        <f>AVERAGE(Dados!G71:G82)</f>
        <v>117.05916666666667</v>
      </c>
      <c r="H81" s="33">
        <f>AVERAGE(Dados!H71:H82)</f>
        <v>124.81416666666667</v>
      </c>
      <c r="I81" s="33">
        <f>AVERAGE(Dados!I71:I82)</f>
        <v>119.45500000000003</v>
      </c>
      <c r="J81" s="33">
        <f>AVERAGE(Dados!J71:J82)</f>
        <v>125.01749999999998</v>
      </c>
      <c r="K81" s="33">
        <f>AVERAGE(Dados!K71:K82)</f>
        <v>124.23833333333333</v>
      </c>
    </row>
    <row r="82" spans="1:11" x14ac:dyDescent="0.25">
      <c r="A82" s="32">
        <v>39934</v>
      </c>
      <c r="B82" s="33">
        <f>AVERAGE(Dados!B72:B83)</f>
        <v>126.03249999999998</v>
      </c>
      <c r="C82" s="33">
        <f>AVERAGE(Dados!C72:C83)</f>
        <v>122.51666666666667</v>
      </c>
      <c r="D82" s="33">
        <f>AVERAGE(Dados!D72:D83)</f>
        <v>126.50083333333332</v>
      </c>
      <c r="E82" s="33">
        <f>AVERAGE(Dados!E72:E83)</f>
        <v>123.92666666666666</v>
      </c>
      <c r="F82" s="33">
        <f>AVERAGE(Dados!F72:F83)</f>
        <v>133.48249999999999</v>
      </c>
      <c r="G82" s="33">
        <f>AVERAGE(Dados!G72:G83)</f>
        <v>117.12500000000001</v>
      </c>
      <c r="H82" s="33">
        <f>AVERAGE(Dados!H72:H83)</f>
        <v>124.89833333333331</v>
      </c>
      <c r="I82" s="33">
        <f>AVERAGE(Dados!I72:I83)</f>
        <v>119.78166666666668</v>
      </c>
      <c r="J82" s="33">
        <f>AVERAGE(Dados!J72:J83)</f>
        <v>124.81166666666665</v>
      </c>
      <c r="K82" s="33">
        <f>AVERAGE(Dados!K72:K83)</f>
        <v>123.97416666666665</v>
      </c>
    </row>
    <row r="83" spans="1:11" x14ac:dyDescent="0.25">
      <c r="A83" s="32">
        <v>39965</v>
      </c>
      <c r="B83" s="33">
        <f>AVERAGE(Dados!B73:B84)</f>
        <v>125.59833333333331</v>
      </c>
      <c r="C83" s="33">
        <f>AVERAGE(Dados!C73:C84)</f>
        <v>122.02833333333332</v>
      </c>
      <c r="D83" s="33">
        <f>AVERAGE(Dados!D73:D84)</f>
        <v>126.78499999999998</v>
      </c>
      <c r="E83" s="33">
        <f>AVERAGE(Dados!E73:E84)</f>
        <v>123.76583333333332</v>
      </c>
      <c r="F83" s="33">
        <f>AVERAGE(Dados!F73:F84)</f>
        <v>133.19333333333333</v>
      </c>
      <c r="G83" s="33">
        <f>AVERAGE(Dados!G73:G84)</f>
        <v>116.85000000000001</v>
      </c>
      <c r="H83" s="33">
        <f>AVERAGE(Dados!H73:H84)</f>
        <v>124.79916666666664</v>
      </c>
      <c r="I83" s="33">
        <f>AVERAGE(Dados!I73:I84)</f>
        <v>120.0025</v>
      </c>
      <c r="J83" s="33">
        <f>AVERAGE(Dados!J73:J84)</f>
        <v>124.23916666666666</v>
      </c>
      <c r="K83" s="33">
        <f>AVERAGE(Dados!K73:K84)</f>
        <v>123.89749999999998</v>
      </c>
    </row>
    <row r="84" spans="1:11" x14ac:dyDescent="0.25">
      <c r="A84" s="32">
        <v>39995</v>
      </c>
      <c r="B84" s="33">
        <f>AVERAGE(Dados!B74:B85)</f>
        <v>125.22249999999998</v>
      </c>
      <c r="C84" s="33">
        <f>AVERAGE(Dados!C74:C85)</f>
        <v>121.52999999999999</v>
      </c>
      <c r="D84" s="33">
        <f>AVERAGE(Dados!D74:D85)</f>
        <v>127.08833333333332</v>
      </c>
      <c r="E84" s="33">
        <f>AVERAGE(Dados!E74:E85)</f>
        <v>123.73333333333333</v>
      </c>
      <c r="F84" s="33">
        <f>AVERAGE(Dados!F74:F85)</f>
        <v>132.88833333333332</v>
      </c>
      <c r="G84" s="33">
        <f>AVERAGE(Dados!G74:G85)</f>
        <v>116.8175</v>
      </c>
      <c r="H84" s="33">
        <f>AVERAGE(Dados!H74:H85)</f>
        <v>124.74249999999999</v>
      </c>
      <c r="I84" s="33">
        <f>AVERAGE(Dados!I74:I85)</f>
        <v>120.27999999999999</v>
      </c>
      <c r="J84" s="33">
        <f>AVERAGE(Dados!J74:J85)</f>
        <v>123.76249999999997</v>
      </c>
      <c r="K84" s="33">
        <f>AVERAGE(Dados!K74:K85)</f>
        <v>123.66249999999998</v>
      </c>
    </row>
    <row r="85" spans="1:11" x14ac:dyDescent="0.25">
      <c r="A85" s="32">
        <v>40026</v>
      </c>
      <c r="B85" s="33">
        <f>AVERAGE(Dados!B75:B86)</f>
        <v>124.96583333333331</v>
      </c>
      <c r="C85" s="33">
        <f>AVERAGE(Dados!C75:C86)</f>
        <v>121.24083333333333</v>
      </c>
      <c r="D85" s="33">
        <f>AVERAGE(Dados!D75:D86)</f>
        <v>127.52666666666669</v>
      </c>
      <c r="E85" s="33">
        <f>AVERAGE(Dados!E75:E86)</f>
        <v>123.60166666666665</v>
      </c>
      <c r="F85" s="33">
        <f>AVERAGE(Dados!F75:F86)</f>
        <v>132.71833333333333</v>
      </c>
      <c r="G85" s="33">
        <f>AVERAGE(Dados!G75:G86)</f>
        <v>116.81583333333333</v>
      </c>
      <c r="H85" s="33">
        <f>AVERAGE(Dados!H75:H86)</f>
        <v>124.63083333333334</v>
      </c>
      <c r="I85" s="33">
        <f>AVERAGE(Dados!I75:I86)</f>
        <v>120.51166666666664</v>
      </c>
      <c r="J85" s="33">
        <f>AVERAGE(Dados!J75:J86)</f>
        <v>123.42999999999999</v>
      </c>
      <c r="K85" s="33">
        <f>AVERAGE(Dados!K75:K86)</f>
        <v>123.74166666666666</v>
      </c>
    </row>
    <row r="86" spans="1:11" x14ac:dyDescent="0.25">
      <c r="A86" s="32">
        <v>40057</v>
      </c>
      <c r="B86" s="33">
        <f>AVERAGE(Dados!B76:B87)</f>
        <v>124.83666666666666</v>
      </c>
      <c r="C86" s="33">
        <f>AVERAGE(Dados!C76:C87)</f>
        <v>121.14833333333331</v>
      </c>
      <c r="D86" s="33">
        <f>AVERAGE(Dados!D76:D87)</f>
        <v>127.96083333333335</v>
      </c>
      <c r="E86" s="33">
        <f>AVERAGE(Dados!E76:E87)</f>
        <v>123.70083333333334</v>
      </c>
      <c r="F86" s="33">
        <f>AVERAGE(Dados!F76:F87)</f>
        <v>132.65583333333333</v>
      </c>
      <c r="G86" s="33">
        <f>AVERAGE(Dados!G76:G87)</f>
        <v>116.63333333333333</v>
      </c>
      <c r="H86" s="33">
        <f>AVERAGE(Dados!H76:H87)</f>
        <v>124.63416666666667</v>
      </c>
      <c r="I86" s="33">
        <f>AVERAGE(Dados!I76:I87)</f>
        <v>120.86416666666663</v>
      </c>
      <c r="J86" s="33">
        <f>AVERAGE(Dados!J76:J87)</f>
        <v>122.85083333333331</v>
      </c>
      <c r="K86" s="33">
        <f>AVERAGE(Dados!K76:K87)</f>
        <v>123.87666666666667</v>
      </c>
    </row>
    <row r="87" spans="1:11" x14ac:dyDescent="0.25">
      <c r="A87" s="32">
        <v>40087</v>
      </c>
      <c r="B87" s="33">
        <f>AVERAGE(Dados!B77:B88)</f>
        <v>124.97583333333331</v>
      </c>
      <c r="C87" s="33">
        <f>AVERAGE(Dados!C77:C88)</f>
        <v>121.19416666666665</v>
      </c>
      <c r="D87" s="33">
        <f>AVERAGE(Dados!D77:D88)</f>
        <v>128.42666666666665</v>
      </c>
      <c r="E87" s="33">
        <f>AVERAGE(Dados!E77:E88)</f>
        <v>123.55833333333334</v>
      </c>
      <c r="F87" s="33">
        <f>AVERAGE(Dados!F77:F88)</f>
        <v>132.83166666666665</v>
      </c>
      <c r="G87" s="33">
        <f>AVERAGE(Dados!G77:G88)</f>
        <v>116.7975</v>
      </c>
      <c r="H87" s="33">
        <f>AVERAGE(Dados!H77:H88)</f>
        <v>125.005</v>
      </c>
      <c r="I87" s="33">
        <f>AVERAGE(Dados!I77:I88)</f>
        <v>121.19166666666665</v>
      </c>
      <c r="J87" s="33">
        <f>AVERAGE(Dados!J77:J88)</f>
        <v>122.72416666666668</v>
      </c>
      <c r="K87" s="33">
        <f>AVERAGE(Dados!K77:K88)</f>
        <v>124.16416666666665</v>
      </c>
    </row>
    <row r="88" spans="1:11" x14ac:dyDescent="0.25">
      <c r="A88" s="32">
        <v>40118</v>
      </c>
      <c r="B88" s="33">
        <f>AVERAGE(Dados!B78:B89)</f>
        <v>125.39916666666669</v>
      </c>
      <c r="C88" s="33">
        <f>AVERAGE(Dados!C78:C89)</f>
        <v>121.68666666666665</v>
      </c>
      <c r="D88" s="33">
        <f>AVERAGE(Dados!D78:D89)</f>
        <v>129.12083333333334</v>
      </c>
      <c r="E88" s="33">
        <f>AVERAGE(Dados!E78:E89)</f>
        <v>124.16250000000001</v>
      </c>
      <c r="F88" s="33">
        <f>AVERAGE(Dados!F78:F89)</f>
        <v>133.33249999999998</v>
      </c>
      <c r="G88" s="33">
        <f>AVERAGE(Dados!G78:G89)</f>
        <v>117.21333333333332</v>
      </c>
      <c r="H88" s="33">
        <f>AVERAGE(Dados!H78:H89)</f>
        <v>125.65666666666668</v>
      </c>
      <c r="I88" s="33">
        <f>AVERAGE(Dados!I78:I89)</f>
        <v>121.58749999999998</v>
      </c>
      <c r="J88" s="33">
        <f>AVERAGE(Dados!J78:J89)</f>
        <v>122.90166666666666</v>
      </c>
      <c r="K88" s="33">
        <f>AVERAGE(Dados!K78:K89)</f>
        <v>124.63166666666666</v>
      </c>
    </row>
    <row r="89" spans="1:11" x14ac:dyDescent="0.25">
      <c r="A89" s="32">
        <v>40148</v>
      </c>
      <c r="B89" s="33">
        <f>AVERAGE(Dados!B79:B90)</f>
        <v>126.25083333333332</v>
      </c>
      <c r="C89" s="33">
        <f>AVERAGE(Dados!C79:C90)</f>
        <v>122.50500000000001</v>
      </c>
      <c r="D89" s="33">
        <f>AVERAGE(Dados!D79:D90)</f>
        <v>129.93083333333331</v>
      </c>
      <c r="E89" s="33">
        <f>AVERAGE(Dados!E79:E90)</f>
        <v>124.9041666666667</v>
      </c>
      <c r="F89" s="33">
        <f>AVERAGE(Dados!F79:F90)</f>
        <v>134.39499999999998</v>
      </c>
      <c r="G89" s="33">
        <f>AVERAGE(Dados!G79:G90)</f>
        <v>118.205</v>
      </c>
      <c r="H89" s="33">
        <f>AVERAGE(Dados!H79:H90)</f>
        <v>126.64</v>
      </c>
      <c r="I89" s="33">
        <f>AVERAGE(Dados!I79:I90)</f>
        <v>122.18833333333333</v>
      </c>
      <c r="J89" s="33">
        <f>AVERAGE(Dados!J79:J90)</f>
        <v>123.8</v>
      </c>
      <c r="K89" s="33">
        <f>AVERAGE(Dados!K79:K90)</f>
        <v>125.42416666666668</v>
      </c>
    </row>
    <row r="90" spans="1:11" x14ac:dyDescent="0.25">
      <c r="A90" s="32">
        <v>40179</v>
      </c>
      <c r="B90" s="33">
        <f>AVERAGE(Dados!B80:B91)</f>
        <v>127.30416666666667</v>
      </c>
      <c r="C90" s="33">
        <f>AVERAGE(Dados!C80:C91)</f>
        <v>123.52166666666669</v>
      </c>
      <c r="D90" s="33">
        <f>AVERAGE(Dados!D80:D91)</f>
        <v>130.57749999999999</v>
      </c>
      <c r="E90" s="33">
        <f>AVERAGE(Dados!E80:E91)</f>
        <v>125.84666666666665</v>
      </c>
      <c r="F90" s="33">
        <f>AVERAGE(Dados!F80:F91)</f>
        <v>135.35416666666666</v>
      </c>
      <c r="G90" s="33">
        <f>AVERAGE(Dados!G80:G91)</f>
        <v>119.00166666666667</v>
      </c>
      <c r="H90" s="33">
        <f>AVERAGE(Dados!H80:H91)</f>
        <v>127.58666666666669</v>
      </c>
      <c r="I90" s="33">
        <f>AVERAGE(Dados!I80:I91)</f>
        <v>122.77666666666666</v>
      </c>
      <c r="J90" s="33">
        <f>AVERAGE(Dados!J80:J91)</f>
        <v>124.73916666666666</v>
      </c>
      <c r="K90" s="33">
        <f>AVERAGE(Dados!K80:K91)</f>
        <v>126.31</v>
      </c>
    </row>
    <row r="91" spans="1:11" x14ac:dyDescent="0.25">
      <c r="A91" s="32">
        <v>40210</v>
      </c>
      <c r="B91" s="33">
        <f>AVERAGE(Dados!B81:B92)</f>
        <v>128.39333333333335</v>
      </c>
      <c r="C91" s="33">
        <f>AVERAGE(Dados!C81:C92)</f>
        <v>124.52666666666666</v>
      </c>
      <c r="D91" s="33">
        <f>AVERAGE(Dados!D81:D92)</f>
        <v>131.56833333333333</v>
      </c>
      <c r="E91" s="33">
        <f>AVERAGE(Dados!E81:E92)</f>
        <v>126.65500000000002</v>
      </c>
      <c r="F91" s="33">
        <f>AVERAGE(Dados!F81:F92)</f>
        <v>136.31916666666669</v>
      </c>
      <c r="G91" s="33">
        <f>AVERAGE(Dados!G81:G92)</f>
        <v>119.59999999999998</v>
      </c>
      <c r="H91" s="33">
        <f>AVERAGE(Dados!H81:H92)</f>
        <v>128.45166666666668</v>
      </c>
      <c r="I91" s="33">
        <f>AVERAGE(Dados!I81:I92)</f>
        <v>123.4875</v>
      </c>
      <c r="J91" s="33">
        <f>AVERAGE(Dados!J81:J92)</f>
        <v>125.80749999999999</v>
      </c>
      <c r="K91" s="33">
        <f>AVERAGE(Dados!K81:K92)</f>
        <v>126.97166666666668</v>
      </c>
    </row>
    <row r="92" spans="1:11" x14ac:dyDescent="0.25">
      <c r="A92" s="32">
        <v>40238</v>
      </c>
      <c r="B92" s="33">
        <f>AVERAGE(Dados!B82:B93)</f>
        <v>129.51000000000002</v>
      </c>
      <c r="C92" s="33">
        <f>AVERAGE(Dados!C82:C93)</f>
        <v>125.57749999999999</v>
      </c>
      <c r="D92" s="33">
        <f>AVERAGE(Dados!D82:D93)</f>
        <v>132.68083333333334</v>
      </c>
      <c r="E92" s="33">
        <f>AVERAGE(Dados!E82:E93)</f>
        <v>127.59333333333332</v>
      </c>
      <c r="F92" s="33">
        <f>AVERAGE(Dados!F82:F93)</f>
        <v>137.34916666666669</v>
      </c>
      <c r="G92" s="33">
        <f>AVERAGE(Dados!G82:G93)</f>
        <v>120.42999999999999</v>
      </c>
      <c r="H92" s="33">
        <f>AVERAGE(Dados!H82:H93)</f>
        <v>129.59083333333334</v>
      </c>
      <c r="I92" s="33">
        <f>AVERAGE(Dados!I82:I93)</f>
        <v>123.95333333333332</v>
      </c>
      <c r="J92" s="33">
        <f>AVERAGE(Dados!J82:J93)</f>
        <v>127.30499999999999</v>
      </c>
      <c r="K92" s="33">
        <f>AVERAGE(Dados!K82:K93)</f>
        <v>127.78916666666667</v>
      </c>
    </row>
    <row r="93" spans="1:11" x14ac:dyDescent="0.25">
      <c r="A93" s="32">
        <v>40269</v>
      </c>
      <c r="B93" s="33">
        <f>AVERAGE(Dados!B83:B94)</f>
        <v>130.63416666666669</v>
      </c>
      <c r="C93" s="33">
        <f>AVERAGE(Dados!C83:C94)</f>
        <v>126.56499999999998</v>
      </c>
      <c r="D93" s="33">
        <f>AVERAGE(Dados!D83:D94)</f>
        <v>133.5925</v>
      </c>
      <c r="E93" s="33">
        <f>AVERAGE(Dados!E83:E94)</f>
        <v>128.44999999999999</v>
      </c>
      <c r="F93" s="33">
        <f>AVERAGE(Dados!F83:F94)</f>
        <v>138.33833333333334</v>
      </c>
      <c r="G93" s="33">
        <f>AVERAGE(Dados!G83:G94)</f>
        <v>121.05666666666666</v>
      </c>
      <c r="H93" s="33">
        <f>AVERAGE(Dados!H83:H94)</f>
        <v>130.7175</v>
      </c>
      <c r="I93" s="33">
        <f>AVERAGE(Dados!I83:I94)</f>
        <v>124.4575</v>
      </c>
      <c r="J93" s="33">
        <f>AVERAGE(Dados!J83:J94)</f>
        <v>128.42583333333334</v>
      </c>
      <c r="K93" s="33">
        <f>AVERAGE(Dados!K83:K94)</f>
        <v>128.82166666666669</v>
      </c>
    </row>
    <row r="94" spans="1:11" x14ac:dyDescent="0.25">
      <c r="A94" s="32">
        <v>40299</v>
      </c>
      <c r="B94" s="33">
        <f>AVERAGE(Dados!B84:B95)</f>
        <v>131.60749999999999</v>
      </c>
      <c r="C94" s="33">
        <f>AVERAGE(Dados!C84:C95)</f>
        <v>127.56083333333333</v>
      </c>
      <c r="D94" s="33">
        <f>AVERAGE(Dados!D84:D95)</f>
        <v>134.62333333333333</v>
      </c>
      <c r="E94" s="33">
        <f>AVERAGE(Dados!E84:E95)</f>
        <v>129.29749999999999</v>
      </c>
      <c r="F94" s="33">
        <f>AVERAGE(Dados!F84:F95)</f>
        <v>139.20250000000001</v>
      </c>
      <c r="G94" s="33">
        <f>AVERAGE(Dados!G84:G95)</f>
        <v>121.70916666666666</v>
      </c>
      <c r="H94" s="33">
        <f>AVERAGE(Dados!H84:H95)</f>
        <v>131.56833333333336</v>
      </c>
      <c r="I94" s="33">
        <f>AVERAGE(Dados!I84:I95)</f>
        <v>124.9575</v>
      </c>
      <c r="J94" s="33">
        <f>AVERAGE(Dados!J84:J95)</f>
        <v>129.58250000000001</v>
      </c>
      <c r="K94" s="33">
        <f>AVERAGE(Dados!K84:K95)</f>
        <v>129.83500000000001</v>
      </c>
    </row>
    <row r="95" spans="1:11" x14ac:dyDescent="0.25">
      <c r="A95" s="32">
        <v>40330</v>
      </c>
      <c r="B95" s="33">
        <f>AVERAGE(Dados!B85:B96)</f>
        <v>132.47250000000003</v>
      </c>
      <c r="C95" s="33">
        <f>AVERAGE(Dados!C85:C96)</f>
        <v>128.46416666666667</v>
      </c>
      <c r="D95" s="33">
        <f>AVERAGE(Dados!D85:D96)</f>
        <v>135.43</v>
      </c>
      <c r="E95" s="33">
        <f>AVERAGE(Dados!E85:E96)</f>
        <v>129.98249999999999</v>
      </c>
      <c r="F95" s="33">
        <f>AVERAGE(Dados!F85:F96)</f>
        <v>140.05833333333334</v>
      </c>
      <c r="G95" s="33">
        <f>AVERAGE(Dados!G85:G96)</f>
        <v>122.25916666666667</v>
      </c>
      <c r="H95" s="33">
        <f>AVERAGE(Dados!H85:H96)</f>
        <v>132.20916666666668</v>
      </c>
      <c r="I95" s="33">
        <f>AVERAGE(Dados!I85:I96)</f>
        <v>125.49</v>
      </c>
      <c r="J95" s="33">
        <f>AVERAGE(Dados!J85:J96)</f>
        <v>130.92083333333335</v>
      </c>
      <c r="K95" s="33">
        <f>AVERAGE(Dados!K85:K96)</f>
        <v>130.54666666666665</v>
      </c>
    </row>
    <row r="96" spans="1:11" x14ac:dyDescent="0.25">
      <c r="A96" s="32">
        <v>40360</v>
      </c>
      <c r="B96" s="33">
        <f>AVERAGE(Dados!B86:B97)</f>
        <v>133.35</v>
      </c>
      <c r="C96" s="33">
        <f>AVERAGE(Dados!C86:C97)</f>
        <v>129.39666666666668</v>
      </c>
      <c r="D96" s="33">
        <f>AVERAGE(Dados!D86:D97)</f>
        <v>136.36250000000001</v>
      </c>
      <c r="E96" s="33">
        <f>AVERAGE(Dados!E86:E97)</f>
        <v>130.63</v>
      </c>
      <c r="F96" s="33">
        <f>AVERAGE(Dados!F86:F97)</f>
        <v>140.96083333333331</v>
      </c>
      <c r="G96" s="33">
        <f>AVERAGE(Dados!G86:G97)</f>
        <v>122.96249999999999</v>
      </c>
      <c r="H96" s="33">
        <f>AVERAGE(Dados!H86:H97)</f>
        <v>132.65499999999997</v>
      </c>
      <c r="I96" s="33">
        <f>AVERAGE(Dados!I86:I97)</f>
        <v>126.02833333333332</v>
      </c>
      <c r="J96" s="33">
        <f>AVERAGE(Dados!J86:J97)</f>
        <v>132.08583333333334</v>
      </c>
      <c r="K96" s="33">
        <f>AVERAGE(Dados!K86:K97)</f>
        <v>131.47333333333333</v>
      </c>
    </row>
    <row r="97" spans="1:11" x14ac:dyDescent="0.25">
      <c r="A97" s="32">
        <v>40391</v>
      </c>
      <c r="B97" s="33">
        <f>AVERAGE(Dados!B87:B98)</f>
        <v>134.15583333333333</v>
      </c>
      <c r="C97" s="33">
        <f>AVERAGE(Dados!C87:C98)</f>
        <v>130.2466666666667</v>
      </c>
      <c r="D97" s="33">
        <f>AVERAGE(Dados!D87:D98)</f>
        <v>137.13666666666668</v>
      </c>
      <c r="E97" s="33">
        <f>AVERAGE(Dados!E87:E98)</f>
        <v>131.21833333333333</v>
      </c>
      <c r="F97" s="33">
        <f>AVERAGE(Dados!F87:F98)</f>
        <v>141.9325</v>
      </c>
      <c r="G97" s="33">
        <f>AVERAGE(Dados!G87:G98)</f>
        <v>123.62666666666667</v>
      </c>
      <c r="H97" s="33">
        <f>AVERAGE(Dados!H87:H98)</f>
        <v>133.16</v>
      </c>
      <c r="I97" s="33">
        <f>AVERAGE(Dados!I87:I98)</f>
        <v>126.63583333333334</v>
      </c>
      <c r="J97" s="33">
        <f>AVERAGE(Dados!J87:J98)</f>
        <v>133.0616666666667</v>
      </c>
      <c r="K97" s="33">
        <f>AVERAGE(Dados!K87:K98)</f>
        <v>132.20916666666668</v>
      </c>
    </row>
    <row r="98" spans="1:11" x14ac:dyDescent="0.25">
      <c r="A98" s="32">
        <v>40422</v>
      </c>
      <c r="B98" s="33">
        <f>AVERAGE(Dados!B88:B99)</f>
        <v>135.00333333333333</v>
      </c>
      <c r="C98" s="33">
        <f>AVERAGE(Dados!C88:C99)</f>
        <v>130.92750000000001</v>
      </c>
      <c r="D98" s="33">
        <f>AVERAGE(Dados!D88:D99)</f>
        <v>137.92166666666668</v>
      </c>
      <c r="E98" s="33">
        <f>AVERAGE(Dados!E88:E99)</f>
        <v>131.76833333333335</v>
      </c>
      <c r="F98" s="33">
        <f>AVERAGE(Dados!F88:F99)</f>
        <v>142.64500000000001</v>
      </c>
      <c r="G98" s="33">
        <f>AVERAGE(Dados!G88:G99)</f>
        <v>124.07333333333332</v>
      </c>
      <c r="H98" s="33">
        <f>AVERAGE(Dados!H88:H99)</f>
        <v>133.45583333333332</v>
      </c>
      <c r="I98" s="33">
        <f>AVERAGE(Dados!I88:I99)</f>
        <v>127.09166666666664</v>
      </c>
      <c r="J98" s="33">
        <f>AVERAGE(Dados!J88:J99)</f>
        <v>134.30250000000001</v>
      </c>
      <c r="K98" s="33">
        <f>AVERAGE(Dados!K88:K99)</f>
        <v>132.80916666666664</v>
      </c>
    </row>
    <row r="99" spans="1:11" x14ac:dyDescent="0.25">
      <c r="A99" s="32">
        <v>40452</v>
      </c>
      <c r="B99" s="33">
        <f>AVERAGE(Dados!B89:B100)</f>
        <v>135.75833333333333</v>
      </c>
      <c r="C99" s="33">
        <f>AVERAGE(Dados!C89:C100)</f>
        <v>131.5975</v>
      </c>
      <c r="D99" s="33">
        <f>AVERAGE(Dados!D89:D100)</f>
        <v>138.91916666666668</v>
      </c>
      <c r="E99" s="33">
        <f>AVERAGE(Dados!E89:E100)</f>
        <v>132.29083333333332</v>
      </c>
      <c r="F99" s="33">
        <f>AVERAGE(Dados!F89:F100)</f>
        <v>143.34833333333333</v>
      </c>
      <c r="G99" s="33">
        <f>AVERAGE(Dados!G89:G100)</f>
        <v>124.46666666666665</v>
      </c>
      <c r="H99" s="33">
        <f>AVERAGE(Dados!H89:H100)</f>
        <v>133.83666666666664</v>
      </c>
      <c r="I99" s="33">
        <f>AVERAGE(Dados!I89:I100)</f>
        <v>127.65666666666664</v>
      </c>
      <c r="J99" s="33">
        <f>AVERAGE(Dados!J89:J100)</f>
        <v>135.26666666666668</v>
      </c>
      <c r="K99" s="33">
        <f>AVERAGE(Dados!K89:K100)</f>
        <v>133.58916666666664</v>
      </c>
    </row>
    <row r="100" spans="1:11" x14ac:dyDescent="0.25">
      <c r="A100" s="32">
        <v>40483</v>
      </c>
      <c r="B100" s="33">
        <f>AVERAGE(Dados!B90:B101)</f>
        <v>136.59916666666666</v>
      </c>
      <c r="C100" s="33">
        <f>AVERAGE(Dados!C90:C101)</f>
        <v>132.23166666666665</v>
      </c>
      <c r="D100" s="33">
        <f>AVERAGE(Dados!D90:D101)</f>
        <v>139.81750000000002</v>
      </c>
      <c r="E100" s="33">
        <f>AVERAGE(Dados!E90:E101)</f>
        <v>132.84333333333333</v>
      </c>
      <c r="F100" s="33">
        <f>AVERAGE(Dados!F90:F101)</f>
        <v>143.96</v>
      </c>
      <c r="G100" s="33">
        <f>AVERAGE(Dados!G90:G101)</f>
        <v>125.03499999999998</v>
      </c>
      <c r="H100" s="33">
        <f>AVERAGE(Dados!H90:H101)</f>
        <v>134.27250000000001</v>
      </c>
      <c r="I100" s="33">
        <f>AVERAGE(Dados!I90:I101)</f>
        <v>128.28833333333333</v>
      </c>
      <c r="J100" s="33">
        <f>AVERAGE(Dados!J90:J101)</f>
        <v>136.07333333333332</v>
      </c>
      <c r="K100" s="33">
        <f>AVERAGE(Dados!K90:K101)</f>
        <v>134.19499999999999</v>
      </c>
    </row>
    <row r="101" spans="1:11" x14ac:dyDescent="0.25">
      <c r="A101" s="32">
        <v>40513</v>
      </c>
      <c r="B101" s="33">
        <f>AVERAGE(Dados!B91:B102)</f>
        <v>137.21083333333334</v>
      </c>
      <c r="C101" s="33">
        <f>AVERAGE(Dados!C91:C102)</f>
        <v>133.05666666666664</v>
      </c>
      <c r="D101" s="33">
        <f>AVERAGE(Dados!D91:D102)</f>
        <v>140.80000000000001</v>
      </c>
      <c r="E101" s="33">
        <f>AVERAGE(Dados!E91:E102)</f>
        <v>133.375</v>
      </c>
      <c r="F101" s="33">
        <f>AVERAGE(Dados!F91:F102)</f>
        <v>144.47916666666666</v>
      </c>
      <c r="G101" s="33">
        <f>AVERAGE(Dados!G91:G102)</f>
        <v>125.55083333333333</v>
      </c>
      <c r="H101" s="33">
        <f>AVERAGE(Dados!H91:H102)</f>
        <v>135.13999999999999</v>
      </c>
      <c r="I101" s="33">
        <f>AVERAGE(Dados!I91:I102)</f>
        <v>128.81833333333333</v>
      </c>
      <c r="J101" s="33">
        <f>AVERAGE(Dados!J91:J102)</f>
        <v>136.76833333333335</v>
      </c>
      <c r="K101" s="33">
        <f>AVERAGE(Dados!K91:K102)</f>
        <v>134.61166666666671</v>
      </c>
    </row>
    <row r="102" spans="1:11" x14ac:dyDescent="0.25">
      <c r="A102" s="32">
        <v>40544</v>
      </c>
      <c r="B102" s="33">
        <f>AVERAGE(Dados!B92:B103)</f>
        <v>137.76666666666665</v>
      </c>
      <c r="C102" s="33">
        <f>AVERAGE(Dados!C92:C103)</f>
        <v>133.715</v>
      </c>
      <c r="D102" s="33">
        <f>AVERAGE(Dados!D92:D103)</f>
        <v>141.55666666666664</v>
      </c>
      <c r="E102" s="33">
        <f>AVERAGE(Dados!E92:E103)</f>
        <v>133.61083333333332</v>
      </c>
      <c r="F102" s="33">
        <f>AVERAGE(Dados!F92:F103)</f>
        <v>144.97249999999997</v>
      </c>
      <c r="G102" s="33">
        <f>AVERAGE(Dados!G92:G103)</f>
        <v>126.14499999999998</v>
      </c>
      <c r="H102" s="33">
        <f>AVERAGE(Dados!H92:H103)</f>
        <v>135.73166666666665</v>
      </c>
      <c r="I102" s="33">
        <f>AVERAGE(Dados!I92:I103)</f>
        <v>129.19583333333333</v>
      </c>
      <c r="J102" s="33">
        <f>AVERAGE(Dados!J92:J103)</f>
        <v>137.47083333333333</v>
      </c>
      <c r="K102" s="33">
        <f>AVERAGE(Dados!K92:K103)</f>
        <v>135.01750000000001</v>
      </c>
    </row>
    <row r="103" spans="1:11" x14ac:dyDescent="0.25">
      <c r="A103" s="32">
        <v>40575</v>
      </c>
      <c r="B103" s="33">
        <f>AVERAGE(Dados!B93:B104)</f>
        <v>138.21416666666664</v>
      </c>
      <c r="C103" s="33">
        <f>AVERAGE(Dados!C93:C104)</f>
        <v>134.23583333333332</v>
      </c>
      <c r="D103" s="33">
        <f>AVERAGE(Dados!D93:D104)</f>
        <v>142.22</v>
      </c>
      <c r="E103" s="33">
        <f>AVERAGE(Dados!E93:E104)</f>
        <v>133.95666666666668</v>
      </c>
      <c r="F103" s="33">
        <f>AVERAGE(Dados!F93:F104)</f>
        <v>145.41166666666666</v>
      </c>
      <c r="G103" s="33">
        <f>AVERAGE(Dados!G93:G104)</f>
        <v>126.70916666666665</v>
      </c>
      <c r="H103" s="33">
        <f>AVERAGE(Dados!H93:H104)</f>
        <v>136.0975</v>
      </c>
      <c r="I103" s="33">
        <f>AVERAGE(Dados!I93:I104)</f>
        <v>129.41916666666668</v>
      </c>
      <c r="J103" s="33">
        <f>AVERAGE(Dados!J93:J104)</f>
        <v>137.92083333333332</v>
      </c>
      <c r="K103" s="33">
        <f>AVERAGE(Dados!K93:K104)</f>
        <v>135.28333333333339</v>
      </c>
    </row>
    <row r="104" spans="1:11" x14ac:dyDescent="0.25">
      <c r="A104" s="32">
        <v>40603</v>
      </c>
      <c r="B104" s="33">
        <f>AVERAGE(Dados!B94:B105)</f>
        <v>138.6</v>
      </c>
      <c r="C104" s="33">
        <f>AVERAGE(Dados!C94:C105)</f>
        <v>134.61666666666667</v>
      </c>
      <c r="D104" s="33">
        <f>AVERAGE(Dados!D94:D105)</f>
        <v>142.71666666666667</v>
      </c>
      <c r="E104" s="33">
        <f>AVERAGE(Dados!E94:E105)</f>
        <v>134.28916666666666</v>
      </c>
      <c r="F104" s="33">
        <f>AVERAGE(Dados!F94:F105)</f>
        <v>145.83000000000001</v>
      </c>
      <c r="G104" s="33">
        <f>AVERAGE(Dados!G94:G105)</f>
        <v>127.2325</v>
      </c>
      <c r="H104" s="33">
        <f>AVERAGE(Dados!H94:H105)</f>
        <v>136.2775</v>
      </c>
      <c r="I104" s="33">
        <f>AVERAGE(Dados!I94:I105)</f>
        <v>129.79333333333335</v>
      </c>
      <c r="J104" s="33">
        <f>AVERAGE(Dados!J94:J105)</f>
        <v>138.05583333333334</v>
      </c>
      <c r="K104" s="33">
        <f>AVERAGE(Dados!K94:K105)</f>
        <v>135.66166666666666</v>
      </c>
    </row>
    <row r="105" spans="1:11" x14ac:dyDescent="0.25">
      <c r="A105" s="32">
        <v>40634</v>
      </c>
      <c r="B105" s="33">
        <f>AVERAGE(Dados!B95:B106)</f>
        <v>138.92083333333332</v>
      </c>
      <c r="C105" s="33">
        <f>AVERAGE(Dados!C95:C106)</f>
        <v>134.98083333333335</v>
      </c>
      <c r="D105" s="33">
        <f>AVERAGE(Dados!D95:D106)</f>
        <v>143.35833333333335</v>
      </c>
      <c r="E105" s="33">
        <f>AVERAGE(Dados!E95:E106)</f>
        <v>134.66916666666665</v>
      </c>
      <c r="F105" s="33">
        <f>AVERAGE(Dados!F95:F106)</f>
        <v>146.01000000000002</v>
      </c>
      <c r="G105" s="33">
        <f>AVERAGE(Dados!G95:G106)</f>
        <v>127.57916666666665</v>
      </c>
      <c r="H105" s="33">
        <f>AVERAGE(Dados!H95:H106)</f>
        <v>136.22666666666666</v>
      </c>
      <c r="I105" s="33">
        <f>AVERAGE(Dados!I95:I106)</f>
        <v>130.18666666666667</v>
      </c>
      <c r="J105" s="33">
        <f>AVERAGE(Dados!J95:J106)</f>
        <v>138.54916666666668</v>
      </c>
      <c r="K105" s="33">
        <f>AVERAGE(Dados!K95:K106)</f>
        <v>136.04999999999998</v>
      </c>
    </row>
    <row r="106" spans="1:11" x14ac:dyDescent="0.25">
      <c r="A106" s="32">
        <v>40664</v>
      </c>
      <c r="B106" s="33">
        <f>AVERAGE(Dados!B96:B107)</f>
        <v>139.3133333333333</v>
      </c>
      <c r="C106" s="33">
        <f>AVERAGE(Dados!C96:C107)</f>
        <v>135.46</v>
      </c>
      <c r="D106" s="33">
        <f>AVERAGE(Dados!D96:D107)</f>
        <v>143.95416666666668</v>
      </c>
      <c r="E106" s="33">
        <f>AVERAGE(Dados!E96:E107)</f>
        <v>135.76250000000002</v>
      </c>
      <c r="F106" s="33">
        <f>AVERAGE(Dados!F96:F107)</f>
        <v>146.39916666666667</v>
      </c>
      <c r="G106" s="33">
        <f>AVERAGE(Dados!G96:G107)</f>
        <v>128.16999999999999</v>
      </c>
      <c r="H106" s="33">
        <f>AVERAGE(Dados!H96:H107)</f>
        <v>136.34833333333333</v>
      </c>
      <c r="I106" s="33">
        <f>AVERAGE(Dados!I96:I107)</f>
        <v>130.41500000000002</v>
      </c>
      <c r="J106" s="33">
        <f>AVERAGE(Dados!J96:J107)</f>
        <v>139.05500000000001</v>
      </c>
      <c r="K106" s="33">
        <f>AVERAGE(Dados!K96:K107)</f>
        <v>136.48583333333332</v>
      </c>
    </row>
    <row r="107" spans="1:11" x14ac:dyDescent="0.25">
      <c r="A107" s="32">
        <v>40695</v>
      </c>
      <c r="B107" s="33">
        <f>AVERAGE(Dados!B97:B108)</f>
        <v>139.81166666666667</v>
      </c>
      <c r="C107" s="33">
        <f>AVERAGE(Dados!C97:C108)</f>
        <v>135.76000000000002</v>
      </c>
      <c r="D107" s="33">
        <f>AVERAGE(Dados!D97:D108)</f>
        <v>144.72666666666669</v>
      </c>
      <c r="E107" s="33">
        <f>AVERAGE(Dados!E97:E108)</f>
        <v>136.65333333333334</v>
      </c>
      <c r="F107" s="33">
        <f>AVERAGE(Dados!F97:F108)</f>
        <v>146.63166666666666</v>
      </c>
      <c r="G107" s="33">
        <f>AVERAGE(Dados!G97:G108)</f>
        <v>128.73083333333332</v>
      </c>
      <c r="H107" s="33">
        <f>AVERAGE(Dados!H97:H108)</f>
        <v>136.43166666666667</v>
      </c>
      <c r="I107" s="33">
        <f>AVERAGE(Dados!I97:I108)</f>
        <v>130.54</v>
      </c>
      <c r="J107" s="33">
        <f>AVERAGE(Dados!J97:J108)</f>
        <v>139.56333333333336</v>
      </c>
      <c r="K107" s="33">
        <f>AVERAGE(Dados!K97:K108)</f>
        <v>137.22166666666666</v>
      </c>
    </row>
    <row r="108" spans="1:11" x14ac:dyDescent="0.25">
      <c r="A108" s="32">
        <v>40725</v>
      </c>
      <c r="B108" s="33">
        <f>AVERAGE(Dados!B98:B109)</f>
        <v>140.26583333333335</v>
      </c>
      <c r="C108" s="33">
        <f>AVERAGE(Dados!C98:C109)</f>
        <v>136.06416666666669</v>
      </c>
      <c r="D108" s="33">
        <f>AVERAGE(Dados!D98:D109)</f>
        <v>145.44749999999999</v>
      </c>
      <c r="E108" s="33">
        <f>AVERAGE(Dados!E98:E109)</f>
        <v>137.45583333333332</v>
      </c>
      <c r="F108" s="33">
        <f>AVERAGE(Dados!F98:F109)</f>
        <v>147.03583333333333</v>
      </c>
      <c r="G108" s="33">
        <f>AVERAGE(Dados!G98:G109)</f>
        <v>129.15416666666667</v>
      </c>
      <c r="H108" s="33">
        <f>AVERAGE(Dados!H98:H109)</f>
        <v>136.88083333333333</v>
      </c>
      <c r="I108" s="33">
        <f>AVERAGE(Dados!I98:I109)</f>
        <v>130.65916666666666</v>
      </c>
      <c r="J108" s="33">
        <f>AVERAGE(Dados!J98:J109)</f>
        <v>140.20250000000001</v>
      </c>
      <c r="K108" s="33">
        <f>AVERAGE(Dados!K98:K109)</f>
        <v>137.59833333333333</v>
      </c>
    </row>
    <row r="109" spans="1:11" x14ac:dyDescent="0.25">
      <c r="A109" s="32">
        <v>40756</v>
      </c>
      <c r="B109" s="33">
        <f>AVERAGE(Dados!B99:B110)</f>
        <v>140.61583333333334</v>
      </c>
      <c r="C109" s="33">
        <f>AVERAGE(Dados!C99:C110)</f>
        <v>136.32500000000002</v>
      </c>
      <c r="D109" s="33">
        <f>AVERAGE(Dados!D99:D110)</f>
        <v>146.07999999999998</v>
      </c>
      <c r="E109" s="33">
        <f>AVERAGE(Dados!E99:E110)</f>
        <v>138.31</v>
      </c>
      <c r="F109" s="33">
        <f>AVERAGE(Dados!F99:F110)</f>
        <v>147.29</v>
      </c>
      <c r="G109" s="33">
        <f>AVERAGE(Dados!G99:G110)</f>
        <v>129.46166666666667</v>
      </c>
      <c r="H109" s="33">
        <f>AVERAGE(Dados!H99:H110)</f>
        <v>137.23583333333335</v>
      </c>
      <c r="I109" s="33">
        <f>AVERAGE(Dados!I99:I110)</f>
        <v>130.75083333333333</v>
      </c>
      <c r="J109" s="33">
        <f>AVERAGE(Dados!J99:J110)</f>
        <v>140.91250000000002</v>
      </c>
      <c r="K109" s="33">
        <f>AVERAGE(Dados!K99:K110)</f>
        <v>137.89750000000001</v>
      </c>
    </row>
    <row r="110" spans="1:11" x14ac:dyDescent="0.25">
      <c r="A110" s="32">
        <v>40787</v>
      </c>
      <c r="B110" s="33">
        <f>AVERAGE(Dados!B100:B111)</f>
        <v>140.82250000000002</v>
      </c>
      <c r="C110" s="33">
        <f>AVERAGE(Dados!C100:C111)</f>
        <v>136.57916666666668</v>
      </c>
      <c r="D110" s="33">
        <f>AVERAGE(Dados!D100:D111)</f>
        <v>146.86416666666665</v>
      </c>
      <c r="E110" s="33">
        <f>AVERAGE(Dados!E100:E111)</f>
        <v>138.95416666666665</v>
      </c>
      <c r="F110" s="33">
        <f>AVERAGE(Dados!F100:F111)</f>
        <v>147.53666666666666</v>
      </c>
      <c r="G110" s="33">
        <f>AVERAGE(Dados!G100:G111)</f>
        <v>130.02416666666667</v>
      </c>
      <c r="H110" s="33">
        <f>AVERAGE(Dados!H100:H111)</f>
        <v>137.63499999999999</v>
      </c>
      <c r="I110" s="33">
        <f>AVERAGE(Dados!I100:I111)</f>
        <v>130.845</v>
      </c>
      <c r="J110" s="33">
        <f>AVERAGE(Dados!J100:J111)</f>
        <v>141.55500000000004</v>
      </c>
      <c r="K110" s="33">
        <f>AVERAGE(Dados!K100:K111)</f>
        <v>138.18833333333333</v>
      </c>
    </row>
    <row r="111" spans="1:11" x14ac:dyDescent="0.25">
      <c r="A111" s="32">
        <v>40817</v>
      </c>
      <c r="B111" s="33">
        <f>AVERAGE(Dados!B101:B112)</f>
        <v>141.03749999999999</v>
      </c>
      <c r="C111" s="33">
        <f>AVERAGE(Dados!C101:C112)</f>
        <v>136.79416666666668</v>
      </c>
      <c r="D111" s="33">
        <f>AVERAGE(Dados!D101:D112)</f>
        <v>147.50249999999997</v>
      </c>
      <c r="E111" s="33">
        <f>AVERAGE(Dados!E101:E112)</f>
        <v>139.18583333333333</v>
      </c>
      <c r="F111" s="33">
        <f>AVERAGE(Dados!F101:F112)</f>
        <v>147.61166666666665</v>
      </c>
      <c r="G111" s="33">
        <f>AVERAGE(Dados!G101:G112)</f>
        <v>130.55000000000001</v>
      </c>
      <c r="H111" s="33">
        <f>AVERAGE(Dados!H101:H112)</f>
        <v>137.82250000000002</v>
      </c>
      <c r="I111" s="33">
        <f>AVERAGE(Dados!I101:I112)</f>
        <v>130.86250000000001</v>
      </c>
      <c r="J111" s="33">
        <f>AVERAGE(Dados!J101:J112)</f>
        <v>142.12750000000003</v>
      </c>
      <c r="K111" s="33">
        <f>AVERAGE(Dados!K101:K112)</f>
        <v>138.35249999999999</v>
      </c>
    </row>
    <row r="112" spans="1:11" x14ac:dyDescent="0.25">
      <c r="A112" s="32">
        <v>40848</v>
      </c>
      <c r="B112" s="33">
        <f>AVERAGE(Dados!B102:B113)</f>
        <v>141.22083333333333</v>
      </c>
      <c r="C112" s="33">
        <f>AVERAGE(Dados!C102:C113)</f>
        <v>137.19416666666666</v>
      </c>
      <c r="D112" s="33">
        <f>AVERAGE(Dados!D102:D113)</f>
        <v>147.95750000000001</v>
      </c>
      <c r="E112" s="33">
        <f>AVERAGE(Dados!E102:E113)</f>
        <v>139.26</v>
      </c>
      <c r="F112" s="33">
        <f>AVERAGE(Dados!F102:F113)</f>
        <v>147.68916666666669</v>
      </c>
      <c r="G112" s="33">
        <f>AVERAGE(Dados!G102:G113)</f>
        <v>130.77833333333334</v>
      </c>
      <c r="H112" s="33">
        <f>AVERAGE(Dados!H102:H113)</f>
        <v>137.98916666666665</v>
      </c>
      <c r="I112" s="33">
        <f>AVERAGE(Dados!I102:I113)</f>
        <v>130.9</v>
      </c>
      <c r="J112" s="33">
        <f>AVERAGE(Dados!J102:J113)</f>
        <v>142.81750000000002</v>
      </c>
      <c r="K112" s="33">
        <f>AVERAGE(Dados!K102:K113)</f>
        <v>138.55416666666665</v>
      </c>
    </row>
    <row r="113" spans="1:11" x14ac:dyDescent="0.25">
      <c r="A113" s="32">
        <v>40878</v>
      </c>
      <c r="B113" s="33">
        <f>AVERAGE(Dados!B103:B114)</f>
        <v>141.37333333333333</v>
      </c>
      <c r="C113" s="33">
        <f>AVERAGE(Dados!C103:C114)</f>
        <v>137.3725</v>
      </c>
      <c r="D113" s="33">
        <f>AVERAGE(Dados!D103:D114)</f>
        <v>147.92833333333334</v>
      </c>
      <c r="E113" s="33">
        <f>AVERAGE(Dados!E103:E114)</f>
        <v>139.42833333333331</v>
      </c>
      <c r="F113" s="33">
        <f>AVERAGE(Dados!F103:F114)</f>
        <v>147.89583333333334</v>
      </c>
      <c r="G113" s="33">
        <f>AVERAGE(Dados!G103:G114)</f>
        <v>131.26499999999999</v>
      </c>
      <c r="H113" s="33">
        <f>AVERAGE(Dados!H103:H114)</f>
        <v>138.09666666666666</v>
      </c>
      <c r="I113" s="33">
        <f>AVERAGE(Dados!I103:I114)</f>
        <v>130.94833333333335</v>
      </c>
      <c r="J113" s="33">
        <f>AVERAGE(Dados!J103:J114)</f>
        <v>143.81833333333336</v>
      </c>
      <c r="K113" s="33">
        <f>AVERAGE(Dados!K103:K114)</f>
        <v>138.76166666666668</v>
      </c>
    </row>
    <row r="114" spans="1:11" x14ac:dyDescent="0.25">
      <c r="A114" s="32">
        <v>40909</v>
      </c>
      <c r="B114" s="33">
        <f>AVERAGE(Dados!B104:B115)</f>
        <v>141.25750000000002</v>
      </c>
      <c r="C114" s="33">
        <f>AVERAGE(Dados!C104:C115)</f>
        <v>137.16083333333333</v>
      </c>
      <c r="D114" s="33">
        <f>AVERAGE(Dados!D104:D115)</f>
        <v>148.52916666666667</v>
      </c>
      <c r="E114" s="33">
        <f>AVERAGE(Dados!E104:E115)</f>
        <v>139.70083333333335</v>
      </c>
      <c r="F114" s="33">
        <f>AVERAGE(Dados!F104:F115)</f>
        <v>147.98916666666668</v>
      </c>
      <c r="G114" s="33">
        <f>AVERAGE(Dados!G104:G115)</f>
        <v>131.42166666666665</v>
      </c>
      <c r="H114" s="33">
        <f>AVERAGE(Dados!H104:H115)</f>
        <v>137.76583333333335</v>
      </c>
      <c r="I114" s="33">
        <f>AVERAGE(Dados!I104:I115)</f>
        <v>130.92083333333335</v>
      </c>
      <c r="J114" s="33">
        <f>AVERAGE(Dados!J104:J115)</f>
        <v>144.0975</v>
      </c>
      <c r="K114" s="33">
        <f>AVERAGE(Dados!K104:K115)</f>
        <v>139.08916666666667</v>
      </c>
    </row>
    <row r="115" spans="1:11" x14ac:dyDescent="0.25">
      <c r="A115" s="32">
        <v>40940</v>
      </c>
      <c r="B115" s="33">
        <f>AVERAGE(Dados!B105:B116)</f>
        <v>141.23499999999999</v>
      </c>
      <c r="C115" s="33">
        <f>AVERAGE(Dados!C105:C116)</f>
        <v>137.04166666666669</v>
      </c>
      <c r="D115" s="33">
        <f>AVERAGE(Dados!D105:D116)</f>
        <v>149.00749999999996</v>
      </c>
      <c r="E115" s="33">
        <f>AVERAGE(Dados!E105:E116)</f>
        <v>139.93333333333334</v>
      </c>
      <c r="F115" s="33">
        <f>AVERAGE(Dados!F105:F116)</f>
        <v>147.90916666666666</v>
      </c>
      <c r="G115" s="33">
        <f>AVERAGE(Dados!G105:G116)</f>
        <v>131.22416666666666</v>
      </c>
      <c r="H115" s="33">
        <f>AVERAGE(Dados!H105:H116)</f>
        <v>137.62750000000003</v>
      </c>
      <c r="I115" s="33">
        <f>AVERAGE(Dados!I105:I116)</f>
        <v>130.85916666666665</v>
      </c>
      <c r="J115" s="33">
        <f>AVERAGE(Dados!J105:J116)</f>
        <v>144.08666666666667</v>
      </c>
      <c r="K115" s="33">
        <f>AVERAGE(Dados!K105:K116)</f>
        <v>139.56416666666664</v>
      </c>
    </row>
    <row r="116" spans="1:11" x14ac:dyDescent="0.25">
      <c r="A116" s="32">
        <v>40969</v>
      </c>
      <c r="B116" s="33">
        <f>AVERAGE(Dados!B106:B117)</f>
        <v>141.11750000000001</v>
      </c>
      <c r="C116" s="33">
        <f>AVERAGE(Dados!C106:C117)</f>
        <v>137.2225</v>
      </c>
      <c r="D116" s="33">
        <f>AVERAGE(Dados!D106:D117)</f>
        <v>149.47</v>
      </c>
      <c r="E116" s="33">
        <f>AVERAGE(Dados!E106:E117)</f>
        <v>140.03416666666666</v>
      </c>
      <c r="F116" s="33">
        <f>AVERAGE(Dados!F106:F117)</f>
        <v>147.96916666666667</v>
      </c>
      <c r="G116" s="33">
        <f>AVERAGE(Dados!G106:G117)</f>
        <v>130.39583333333331</v>
      </c>
      <c r="H116" s="33">
        <f>AVERAGE(Dados!H106:H117)</f>
        <v>137.52333333333334</v>
      </c>
      <c r="I116" s="33">
        <f>AVERAGE(Dados!I106:I117)</f>
        <v>130.91083333333333</v>
      </c>
      <c r="J116" s="33">
        <f>AVERAGE(Dados!J106:J117)</f>
        <v>143.91749999999999</v>
      </c>
      <c r="K116" s="33">
        <f>AVERAGE(Dados!K106:K117)</f>
        <v>139.78916666666666</v>
      </c>
    </row>
    <row r="117" spans="1:11" x14ac:dyDescent="0.25">
      <c r="A117" s="32">
        <v>41000</v>
      </c>
      <c r="B117" s="33">
        <f>AVERAGE(Dados!B107:B118)</f>
        <v>141.13583333333335</v>
      </c>
      <c r="C117" s="33">
        <f>AVERAGE(Dados!C107:C118)</f>
        <v>137.52000000000001</v>
      </c>
      <c r="D117" s="33">
        <f>AVERAGE(Dados!D107:D118)</f>
        <v>149.95666666666668</v>
      </c>
      <c r="E117" s="33">
        <f>AVERAGE(Dados!E107:E118)</f>
        <v>140.02416666666667</v>
      </c>
      <c r="F117" s="33">
        <f>AVERAGE(Dados!F107:F118)</f>
        <v>148.21</v>
      </c>
      <c r="G117" s="33">
        <f>AVERAGE(Dados!G107:G118)</f>
        <v>129.22</v>
      </c>
      <c r="H117" s="33">
        <f>AVERAGE(Dados!H107:H118)</f>
        <v>137.70250000000001</v>
      </c>
      <c r="I117" s="33">
        <f>AVERAGE(Dados!I107:I118)</f>
        <v>130.9433333333333</v>
      </c>
      <c r="J117" s="33">
        <f>AVERAGE(Dados!J107:J118)</f>
        <v>144.11749999999998</v>
      </c>
      <c r="K117" s="33">
        <f>AVERAGE(Dados!K107:K118)</f>
        <v>139.91249999999999</v>
      </c>
    </row>
    <row r="118" spans="1:11" x14ac:dyDescent="0.25">
      <c r="A118" s="32">
        <v>41030</v>
      </c>
      <c r="B118" s="33">
        <f>AVERAGE(Dados!B108:B119)</f>
        <v>141.26166666666668</v>
      </c>
      <c r="C118" s="33">
        <f>AVERAGE(Dados!C108:C119)</f>
        <v>137.85083333333336</v>
      </c>
      <c r="D118" s="33">
        <f>AVERAGE(Dados!D108:D119)</f>
        <v>150.3858333333333</v>
      </c>
      <c r="E118" s="33">
        <f>AVERAGE(Dados!E108:E119)</f>
        <v>139.31666666666666</v>
      </c>
      <c r="F118" s="33">
        <f>AVERAGE(Dados!F108:F119)</f>
        <v>148.26333333333335</v>
      </c>
      <c r="G118" s="33">
        <f>AVERAGE(Dados!G108:G119)</f>
        <v>129.03833333333336</v>
      </c>
      <c r="H118" s="33">
        <f>AVERAGE(Dados!H108:H119)</f>
        <v>138.05250000000001</v>
      </c>
      <c r="I118" s="33">
        <f>AVERAGE(Dados!I108:I119)</f>
        <v>131.06083333333331</v>
      </c>
      <c r="J118" s="33">
        <f>AVERAGE(Dados!J108:J119)</f>
        <v>144.36999999999998</v>
      </c>
      <c r="K118" s="33">
        <f>AVERAGE(Dados!K108:K119)</f>
        <v>140.02333333333334</v>
      </c>
    </row>
    <row r="119" spans="1:11" x14ac:dyDescent="0.25">
      <c r="A119" s="32">
        <v>41061</v>
      </c>
      <c r="B119" s="33">
        <f>AVERAGE(Dados!B109:B120)</f>
        <v>141.38583333333335</v>
      </c>
      <c r="C119" s="33">
        <f>AVERAGE(Dados!C109:C120)</f>
        <v>138.81500000000003</v>
      </c>
      <c r="D119" s="33">
        <f>AVERAGE(Dados!D109:D120)</f>
        <v>150.85416666666666</v>
      </c>
      <c r="E119" s="33">
        <f>AVERAGE(Dados!E109:E120)</f>
        <v>138.86666666666665</v>
      </c>
      <c r="F119" s="33">
        <f>AVERAGE(Dados!F109:F120)</f>
        <v>148.50750000000002</v>
      </c>
      <c r="G119" s="33">
        <f>AVERAGE(Dados!G109:G120)</f>
        <v>129.18916666666669</v>
      </c>
      <c r="H119" s="33">
        <f>AVERAGE(Dados!H109:H120)</f>
        <v>138.63</v>
      </c>
      <c r="I119" s="33">
        <f>AVERAGE(Dados!I109:I120)</f>
        <v>131.29833333333332</v>
      </c>
      <c r="J119" s="33">
        <f>AVERAGE(Dados!J109:J120)</f>
        <v>144.66333333333333</v>
      </c>
      <c r="K119" s="33">
        <f>AVERAGE(Dados!K109:K120)</f>
        <v>139.83583333333334</v>
      </c>
    </row>
    <row r="120" spans="1:11" x14ac:dyDescent="0.25">
      <c r="A120" s="32">
        <v>41091</v>
      </c>
      <c r="B120" s="33">
        <f>AVERAGE(Dados!B110:B121)</f>
        <v>141.51916666666668</v>
      </c>
      <c r="C120" s="33">
        <f>AVERAGE(Dados!C110:C121)</f>
        <v>139.85</v>
      </c>
      <c r="D120" s="33">
        <f>AVERAGE(Dados!D110:D121)</f>
        <v>151.17333333333335</v>
      </c>
      <c r="E120" s="33">
        <f>AVERAGE(Dados!E110:E121)</f>
        <v>138.46916666666664</v>
      </c>
      <c r="F120" s="33">
        <f>AVERAGE(Dados!F110:F121)</f>
        <v>148.74416666666664</v>
      </c>
      <c r="G120" s="33">
        <f>AVERAGE(Dados!G110:G121)</f>
        <v>129.39833333333334</v>
      </c>
      <c r="H120" s="33">
        <f>AVERAGE(Dados!H110:H121)</f>
        <v>139.11333333333334</v>
      </c>
      <c r="I120" s="33">
        <f>AVERAGE(Dados!I110:I121)</f>
        <v>131.48916666666665</v>
      </c>
      <c r="J120" s="33">
        <f>AVERAGE(Dados!J110:J121)</f>
        <v>144.95583333333335</v>
      </c>
      <c r="K120" s="33">
        <f>AVERAGE(Dados!K110:K121)</f>
        <v>139.9325</v>
      </c>
    </row>
    <row r="121" spans="1:11" x14ac:dyDescent="0.25">
      <c r="A121" s="32">
        <v>41122</v>
      </c>
      <c r="B121" s="33">
        <f>AVERAGE(Dados!B111:B122)</f>
        <v>141.73249999999999</v>
      </c>
      <c r="C121" s="33">
        <f>AVERAGE(Dados!C111:C122)</f>
        <v>140.41499999999999</v>
      </c>
      <c r="D121" s="33">
        <f>AVERAGE(Dados!D111:D122)</f>
        <v>151.57250000000002</v>
      </c>
      <c r="E121" s="33">
        <f>AVERAGE(Dados!E111:E122)</f>
        <v>138.01</v>
      </c>
      <c r="F121" s="33">
        <f>AVERAGE(Dados!F111:F122)</f>
        <v>149.13</v>
      </c>
      <c r="G121" s="33">
        <f>AVERAGE(Dados!G111:G122)</f>
        <v>129.92500000000004</v>
      </c>
      <c r="H121" s="33">
        <f>AVERAGE(Dados!H111:H122)</f>
        <v>139.64666666666668</v>
      </c>
      <c r="I121" s="33">
        <f>AVERAGE(Dados!I111:I122)</f>
        <v>131.6883333333333</v>
      </c>
      <c r="J121" s="33">
        <f>AVERAGE(Dados!J111:J122)</f>
        <v>145.30166666666665</v>
      </c>
      <c r="K121" s="33">
        <f>AVERAGE(Dados!K111:K122)</f>
        <v>139.95833333333331</v>
      </c>
    </row>
    <row r="122" spans="1:11" x14ac:dyDescent="0.25">
      <c r="A122" s="32">
        <v>41153</v>
      </c>
      <c r="B122" s="33">
        <f>AVERAGE(Dados!B112:B123)</f>
        <v>141.88083333333333</v>
      </c>
      <c r="C122" s="33">
        <f>AVERAGE(Dados!C112:C123)</f>
        <v>140.67666666666668</v>
      </c>
      <c r="D122" s="33">
        <f>AVERAGE(Dados!D112:D123)</f>
        <v>151.60166666666666</v>
      </c>
      <c r="E122" s="33">
        <f>AVERAGE(Dados!E112:E123)</f>
        <v>137.72</v>
      </c>
      <c r="F122" s="33">
        <f>AVERAGE(Dados!F112:F123)</f>
        <v>149.42416666666665</v>
      </c>
      <c r="G122" s="33">
        <f>AVERAGE(Dados!G112:G123)</f>
        <v>130.05083333333334</v>
      </c>
      <c r="H122" s="33">
        <f>AVERAGE(Dados!H112:H123)</f>
        <v>139.95249999999999</v>
      </c>
      <c r="I122" s="33">
        <f>AVERAGE(Dados!I112:I123)</f>
        <v>131.68916666666667</v>
      </c>
      <c r="J122" s="33">
        <f>AVERAGE(Dados!J112:J123)</f>
        <v>145.4025</v>
      </c>
      <c r="K122" s="33">
        <f>AVERAGE(Dados!K112:K123)</f>
        <v>140.08583333333334</v>
      </c>
    </row>
    <row r="123" spans="1:11" x14ac:dyDescent="0.25">
      <c r="A123" s="32">
        <v>41183</v>
      </c>
      <c r="B123" s="33">
        <f>AVERAGE(Dados!B113:B124)</f>
        <v>142.13249999999999</v>
      </c>
      <c r="C123" s="33">
        <f>AVERAGE(Dados!C113:C124)</f>
        <v>141.16749999999999</v>
      </c>
      <c r="D123" s="33">
        <f>AVERAGE(Dados!D113:D124)</f>
        <v>151.76416666666665</v>
      </c>
      <c r="E123" s="33">
        <f>AVERAGE(Dados!E113:E124)</f>
        <v>137.95416666666668</v>
      </c>
      <c r="F123" s="33">
        <f>AVERAGE(Dados!F113:F124)</f>
        <v>149.9675</v>
      </c>
      <c r="G123" s="33">
        <f>AVERAGE(Dados!G113:G124)</f>
        <v>130.19666666666666</v>
      </c>
      <c r="H123" s="33">
        <f>AVERAGE(Dados!H113:H124)</f>
        <v>140.37916666666663</v>
      </c>
      <c r="I123" s="33">
        <f>AVERAGE(Dados!I113:I124)</f>
        <v>131.85500000000002</v>
      </c>
      <c r="J123" s="33">
        <f>AVERAGE(Dados!J113:J124)</f>
        <v>145.60333333333332</v>
      </c>
      <c r="K123" s="33">
        <f>AVERAGE(Dados!K113:K124)</f>
        <v>140.27583333333334</v>
      </c>
    </row>
    <row r="124" spans="1:11" x14ac:dyDescent="0.25">
      <c r="A124" s="32">
        <v>41214</v>
      </c>
      <c r="B124" s="33">
        <f>AVERAGE(Dados!B114:B125)</f>
        <v>142.32749999999999</v>
      </c>
      <c r="C124" s="33">
        <f>AVERAGE(Dados!C114:C125)</f>
        <v>141.38250000000002</v>
      </c>
      <c r="D124" s="33">
        <f>AVERAGE(Dados!D114:D125)</f>
        <v>151.99083333333334</v>
      </c>
      <c r="E124" s="33">
        <f>AVERAGE(Dados!E114:E125)</f>
        <v>138.41416666666669</v>
      </c>
      <c r="F124" s="33">
        <f>AVERAGE(Dados!F114:F125)</f>
        <v>150.38333333333333</v>
      </c>
      <c r="G124" s="33">
        <f>AVERAGE(Dados!G114:G125)</f>
        <v>130.51583333333335</v>
      </c>
      <c r="H124" s="33">
        <f>AVERAGE(Dados!H114:H125)</f>
        <v>140.59249999999997</v>
      </c>
      <c r="I124" s="33">
        <f>AVERAGE(Dados!I114:I125)</f>
        <v>131.9366666666667</v>
      </c>
      <c r="J124" s="33">
        <f>AVERAGE(Dados!J114:J125)</f>
        <v>145.5975</v>
      </c>
      <c r="K124" s="33">
        <f>AVERAGE(Dados!K114:K125)</f>
        <v>140.51333333333335</v>
      </c>
    </row>
    <row r="125" spans="1:11" x14ac:dyDescent="0.25">
      <c r="A125" s="32">
        <v>41244</v>
      </c>
      <c r="B125" s="33">
        <f>AVERAGE(Dados!B115:B126)</f>
        <v>142.64583333333334</v>
      </c>
      <c r="C125" s="33">
        <f>AVERAGE(Dados!C115:C126)</f>
        <v>141.47333333333333</v>
      </c>
      <c r="D125" s="33">
        <f>AVERAGE(Dados!D115:D126)</f>
        <v>152.48416666666665</v>
      </c>
      <c r="E125" s="33">
        <f>AVERAGE(Dados!E115:E126)</f>
        <v>138.55666666666667</v>
      </c>
      <c r="F125" s="33">
        <f>AVERAGE(Dados!F115:F126)</f>
        <v>150.81916666666669</v>
      </c>
      <c r="G125" s="33">
        <f>AVERAGE(Dados!G115:G126)</f>
        <v>130.42083333333332</v>
      </c>
      <c r="H125" s="33">
        <f>AVERAGE(Dados!H115:H126)</f>
        <v>140.43916666666664</v>
      </c>
      <c r="I125" s="33">
        <f>AVERAGE(Dados!I115:I126)</f>
        <v>132.16666666666669</v>
      </c>
      <c r="J125" s="33">
        <f>AVERAGE(Dados!J115:J126)</f>
        <v>145.26166666666666</v>
      </c>
      <c r="K125" s="33">
        <f>AVERAGE(Dados!K115:K126)</f>
        <v>140.79249999999999</v>
      </c>
    </row>
    <row r="126" spans="1:11" x14ac:dyDescent="0.25">
      <c r="A126" s="32">
        <v>41275</v>
      </c>
      <c r="B126" s="33">
        <f>AVERAGE(Dados!B116:B127)</f>
        <v>143.16</v>
      </c>
      <c r="C126" s="33">
        <f>AVERAGE(Dados!C116:C127)</f>
        <v>142.09416666666664</v>
      </c>
      <c r="D126" s="33">
        <f>AVERAGE(Dados!D116:D127)</f>
        <v>152.98833333333334</v>
      </c>
      <c r="E126" s="33">
        <f>AVERAGE(Dados!E116:E127)</f>
        <v>138.84583333333333</v>
      </c>
      <c r="F126" s="33">
        <f>AVERAGE(Dados!F116:F127)</f>
        <v>151.22749999999999</v>
      </c>
      <c r="G126" s="33">
        <f>AVERAGE(Dados!G116:G127)</f>
        <v>130.73666666666668</v>
      </c>
      <c r="H126" s="33">
        <f>AVERAGE(Dados!H116:H127)</f>
        <v>140.89750000000001</v>
      </c>
      <c r="I126" s="33">
        <f>AVERAGE(Dados!I116:I127)</f>
        <v>132.45500000000001</v>
      </c>
      <c r="J126" s="33">
        <f>AVERAGE(Dados!J116:J127)</f>
        <v>145.58833333333334</v>
      </c>
      <c r="K126" s="33">
        <f>AVERAGE(Dados!K116:K127)</f>
        <v>141.16083333333336</v>
      </c>
    </row>
    <row r="127" spans="1:11" x14ac:dyDescent="0.25">
      <c r="A127" s="32">
        <v>41306</v>
      </c>
      <c r="B127" s="33">
        <f>AVERAGE(Dados!B117:B128)</f>
        <v>143.47166666666666</v>
      </c>
      <c r="C127" s="33">
        <f>AVERAGE(Dados!C117:C128)</f>
        <v>142.55250000000001</v>
      </c>
      <c r="D127" s="33">
        <f>AVERAGE(Dados!D117:D128)</f>
        <v>153.28583333333333</v>
      </c>
      <c r="E127" s="33">
        <f>AVERAGE(Dados!E117:E128)</f>
        <v>139.00333333333333</v>
      </c>
      <c r="F127" s="33">
        <f>AVERAGE(Dados!F117:F128)</f>
        <v>151.87666666666664</v>
      </c>
      <c r="G127" s="33">
        <f>AVERAGE(Dados!G117:G128)</f>
        <v>131.78749999999999</v>
      </c>
      <c r="H127" s="33">
        <f>AVERAGE(Dados!H117:H128)</f>
        <v>141.42083333333332</v>
      </c>
      <c r="I127" s="33">
        <f>AVERAGE(Dados!I117:I128)</f>
        <v>132.7175</v>
      </c>
      <c r="J127" s="33">
        <f>AVERAGE(Dados!J117:J128)</f>
        <v>146.53083333333336</v>
      </c>
      <c r="K127" s="33">
        <f>AVERAGE(Dados!K117:K128)</f>
        <v>141.53583333333333</v>
      </c>
    </row>
    <row r="128" spans="1:11" x14ac:dyDescent="0.25">
      <c r="A128" s="32">
        <v>41334</v>
      </c>
      <c r="B128" s="33">
        <f>AVERAGE(Dados!B118:B129)</f>
        <v>143.89333333333335</v>
      </c>
      <c r="C128" s="33">
        <f>AVERAGE(Dados!C118:C129)</f>
        <v>142.6825</v>
      </c>
      <c r="D128" s="33">
        <f>AVERAGE(Dados!D118:D129)</f>
        <v>153.61166666666668</v>
      </c>
      <c r="E128" s="33">
        <f>AVERAGE(Dados!E118:E129)</f>
        <v>139.11916666666664</v>
      </c>
      <c r="F128" s="33">
        <f>AVERAGE(Dados!F118:F129)</f>
        <v>152.35333333333332</v>
      </c>
      <c r="G128" s="33">
        <f>AVERAGE(Dados!G118:G129)</f>
        <v>133.38</v>
      </c>
      <c r="H128" s="33">
        <f>AVERAGE(Dados!H118:H129)</f>
        <v>141.9375</v>
      </c>
      <c r="I128" s="33">
        <f>AVERAGE(Dados!I118:I129)</f>
        <v>132.83750000000001</v>
      </c>
      <c r="J128" s="33">
        <f>AVERAGE(Dados!J118:J129)</f>
        <v>147.6866666666667</v>
      </c>
      <c r="K128" s="33">
        <f>AVERAGE(Dados!K118:K129)</f>
        <v>141.87083333333334</v>
      </c>
    </row>
    <row r="129" spans="1:11" x14ac:dyDescent="0.25">
      <c r="A129" s="32">
        <v>41365</v>
      </c>
      <c r="B129" s="33">
        <f>AVERAGE(Dados!B119:B130)</f>
        <v>144.29833333333332</v>
      </c>
      <c r="C129" s="33">
        <f>AVERAGE(Dados!C119:C130)</f>
        <v>142.92833333333334</v>
      </c>
      <c r="D129" s="33">
        <f>AVERAGE(Dados!D119:D130)</f>
        <v>153.98749999999998</v>
      </c>
      <c r="E129" s="33">
        <f>AVERAGE(Dados!E119:E130)</f>
        <v>139.49833333333333</v>
      </c>
      <c r="F129" s="33">
        <f>AVERAGE(Dados!F119:F130)</f>
        <v>152.84749999999997</v>
      </c>
      <c r="G129" s="33">
        <f>AVERAGE(Dados!G119:G130)</f>
        <v>135.68666666666667</v>
      </c>
      <c r="H129" s="33">
        <f>AVERAGE(Dados!H119:H130)</f>
        <v>142.57916666666668</v>
      </c>
      <c r="I129" s="33">
        <f>AVERAGE(Dados!I119:I130)</f>
        <v>132.99250000000001</v>
      </c>
      <c r="J129" s="33">
        <f>AVERAGE(Dados!J119:J130)</f>
        <v>148.51000000000002</v>
      </c>
      <c r="K129" s="33">
        <f>AVERAGE(Dados!K119:K130)</f>
        <v>142.2225</v>
      </c>
    </row>
    <row r="130" spans="1:11" x14ac:dyDescent="0.25">
      <c r="A130" s="32">
        <v>41395</v>
      </c>
      <c r="B130" s="33">
        <f>AVERAGE(Dados!B120:B131)</f>
        <v>144.67416666666665</v>
      </c>
      <c r="C130" s="33">
        <f>AVERAGE(Dados!C120:C131)</f>
        <v>143.05083333333337</v>
      </c>
      <c r="D130" s="33">
        <f>AVERAGE(Dados!D120:D131)</f>
        <v>154.33166666666668</v>
      </c>
      <c r="E130" s="33">
        <f>AVERAGE(Dados!E120:E131)</f>
        <v>139.88166666666669</v>
      </c>
      <c r="F130" s="33">
        <f>AVERAGE(Dados!F120:F131)</f>
        <v>153.285</v>
      </c>
      <c r="G130" s="33">
        <f>AVERAGE(Dados!G120:G131)</f>
        <v>136.3475</v>
      </c>
      <c r="H130" s="33">
        <f>AVERAGE(Dados!H120:H131)</f>
        <v>142.90583333333333</v>
      </c>
      <c r="I130" s="33">
        <f>AVERAGE(Dados!I120:I131)</f>
        <v>133.10666666666665</v>
      </c>
      <c r="J130" s="33">
        <f>AVERAGE(Dados!J120:J131)</f>
        <v>149.03166666666669</v>
      </c>
      <c r="K130" s="33">
        <f>AVERAGE(Dados!K120:K131)</f>
        <v>142.56249999999997</v>
      </c>
    </row>
    <row r="131" spans="1:11" x14ac:dyDescent="0.25">
      <c r="A131" s="32">
        <v>41426</v>
      </c>
      <c r="B131" s="33">
        <f>AVERAGE(Dados!B121:B132)</f>
        <v>144.89583333333334</v>
      </c>
      <c r="C131" s="33">
        <f>AVERAGE(Dados!C121:C132)</f>
        <v>142.89833333333334</v>
      </c>
      <c r="D131" s="33">
        <f>AVERAGE(Dados!D121:D132)</f>
        <v>154.51833333333332</v>
      </c>
      <c r="E131" s="33">
        <f>AVERAGE(Dados!E121:E132)</f>
        <v>140.20500000000001</v>
      </c>
      <c r="F131" s="33">
        <f>AVERAGE(Dados!F121:F132)</f>
        <v>153.83083333333335</v>
      </c>
      <c r="G131" s="33">
        <f>AVERAGE(Dados!G121:G132)</f>
        <v>136.85749999999999</v>
      </c>
      <c r="H131" s="33">
        <f>AVERAGE(Dados!H121:H132)</f>
        <v>143.40916666666666</v>
      </c>
      <c r="I131" s="33">
        <f>AVERAGE(Dados!I121:I132)</f>
        <v>133.18583333333333</v>
      </c>
      <c r="J131" s="33">
        <f>AVERAGE(Dados!J121:J132)</f>
        <v>149.47583333333333</v>
      </c>
      <c r="K131" s="33">
        <f>AVERAGE(Dados!K121:K132)</f>
        <v>143.01499999999999</v>
      </c>
    </row>
    <row r="132" spans="1:11" x14ac:dyDescent="0.25">
      <c r="A132" s="32">
        <v>41456</v>
      </c>
      <c r="B132" s="33">
        <f>AVERAGE(Dados!B122:B133)</f>
        <v>145.15</v>
      </c>
      <c r="C132" s="33">
        <f>AVERAGE(Dados!C122:C133)</f>
        <v>142.55333333333334</v>
      </c>
      <c r="D132" s="33">
        <f>AVERAGE(Dados!D122:D133)</f>
        <v>154.80666666666664</v>
      </c>
      <c r="E132" s="33">
        <f>AVERAGE(Dados!E122:E133)</f>
        <v>140.49583333333331</v>
      </c>
      <c r="F132" s="33">
        <f>AVERAGE(Dados!F122:F133)</f>
        <v>154.095</v>
      </c>
      <c r="G132" s="33">
        <f>AVERAGE(Dados!G122:G133)</f>
        <v>137.26083333333335</v>
      </c>
      <c r="H132" s="33">
        <f>AVERAGE(Dados!H122:H133)</f>
        <v>143.88916666666668</v>
      </c>
      <c r="I132" s="33">
        <f>AVERAGE(Dados!I122:I133)</f>
        <v>133.23833333333334</v>
      </c>
      <c r="J132" s="33">
        <f>AVERAGE(Dados!J122:J133)</f>
        <v>149.9075</v>
      </c>
      <c r="K132" s="33">
        <f>AVERAGE(Dados!K122:K133)</f>
        <v>143.56916666666666</v>
      </c>
    </row>
    <row r="133" spans="1:11" x14ac:dyDescent="0.25">
      <c r="A133" s="32">
        <v>41487</v>
      </c>
      <c r="B133" s="33">
        <f>AVERAGE(Dados!B123:B134)</f>
        <v>145.36833333333334</v>
      </c>
      <c r="C133" s="33">
        <f>AVERAGE(Dados!C123:C134)</f>
        <v>142.57166666666666</v>
      </c>
      <c r="D133" s="33">
        <f>AVERAGE(Dados!D123:D134)</f>
        <v>155.04583333333332</v>
      </c>
      <c r="E133" s="33">
        <f>AVERAGE(Dados!E123:E134)</f>
        <v>140.78666666666666</v>
      </c>
      <c r="F133" s="33">
        <f>AVERAGE(Dados!F123:F134)</f>
        <v>154.30083333333332</v>
      </c>
      <c r="G133" s="33">
        <f>AVERAGE(Dados!G123:G134)</f>
        <v>137.45250000000001</v>
      </c>
      <c r="H133" s="33">
        <f>AVERAGE(Dados!H123:H134)</f>
        <v>144.27250000000001</v>
      </c>
      <c r="I133" s="33">
        <f>AVERAGE(Dados!I123:I134)</f>
        <v>133.25</v>
      </c>
      <c r="J133" s="33">
        <f>AVERAGE(Dados!J123:J134)</f>
        <v>150.25916666666663</v>
      </c>
      <c r="K133" s="33">
        <f>AVERAGE(Dados!K123:K134)</f>
        <v>144.38499999999999</v>
      </c>
    </row>
    <row r="134" spans="1:11" x14ac:dyDescent="0.25">
      <c r="A134" s="32">
        <v>41518</v>
      </c>
      <c r="B134" s="33">
        <f>AVERAGE(Dados!B124:B135)</f>
        <v>145.75833333333335</v>
      </c>
      <c r="C134" s="33">
        <f>AVERAGE(Dados!C124:C135)</f>
        <v>142.84583333333333</v>
      </c>
      <c r="D134" s="33">
        <f>AVERAGE(Dados!D124:D135)</f>
        <v>155.23583333333335</v>
      </c>
      <c r="E134" s="33">
        <f>AVERAGE(Dados!E124:E135)</f>
        <v>141.155</v>
      </c>
      <c r="F134" s="33">
        <f>AVERAGE(Dados!F124:F135)</f>
        <v>154.68833333333333</v>
      </c>
      <c r="G134" s="33">
        <f>AVERAGE(Dados!G124:G135)</f>
        <v>138.02833333333334</v>
      </c>
      <c r="H134" s="33">
        <f>AVERAGE(Dados!H124:H135)</f>
        <v>144.89916666666667</v>
      </c>
      <c r="I134" s="33">
        <f>AVERAGE(Dados!I124:I135)</f>
        <v>133.56583333333333</v>
      </c>
      <c r="J134" s="33">
        <f>AVERAGE(Dados!J124:J135)</f>
        <v>150.76333333333335</v>
      </c>
      <c r="K134" s="33">
        <f>AVERAGE(Dados!K124:K135)</f>
        <v>145.0025</v>
      </c>
    </row>
    <row r="135" spans="1:11" x14ac:dyDescent="0.25">
      <c r="A135" s="32">
        <v>41548</v>
      </c>
      <c r="B135" s="33">
        <f>AVERAGE(Dados!B125:B136)</f>
        <v>146.02000000000001</v>
      </c>
      <c r="C135" s="33">
        <f>AVERAGE(Dados!C125:C136)</f>
        <v>142.88416666666666</v>
      </c>
      <c r="D135" s="33">
        <f>AVERAGE(Dados!D125:D136)</f>
        <v>155.42416666666665</v>
      </c>
      <c r="E135" s="33">
        <f>AVERAGE(Dados!E125:E136)</f>
        <v>141.54166666666666</v>
      </c>
      <c r="F135" s="33">
        <f>AVERAGE(Dados!F125:F136)</f>
        <v>154.81499999999997</v>
      </c>
      <c r="G135" s="33">
        <f>AVERAGE(Dados!G125:G136)</f>
        <v>138.62583333333336</v>
      </c>
      <c r="H135" s="33">
        <f>AVERAGE(Dados!H125:H136)</f>
        <v>145.5275</v>
      </c>
      <c r="I135" s="33">
        <f>AVERAGE(Dados!I125:I136)</f>
        <v>133.70583333333335</v>
      </c>
      <c r="J135" s="33">
        <f>AVERAGE(Dados!J125:J136)</f>
        <v>151.20333333333335</v>
      </c>
      <c r="K135" s="33">
        <f>AVERAGE(Dados!K125:K136)</f>
        <v>145.30999999999997</v>
      </c>
    </row>
    <row r="136" spans="1:11" x14ac:dyDescent="0.25">
      <c r="A136" s="32">
        <v>41579</v>
      </c>
      <c r="B136" s="33">
        <f>AVERAGE(Dados!B126:B137)</f>
        <v>146.32916666666665</v>
      </c>
      <c r="C136" s="33">
        <f>AVERAGE(Dados!C126:C137)</f>
        <v>143.02166666666668</v>
      </c>
      <c r="D136" s="33">
        <f>AVERAGE(Dados!D126:D137)</f>
        <v>155.55666666666664</v>
      </c>
      <c r="E136" s="33">
        <f>AVERAGE(Dados!E126:E137)</f>
        <v>141.74750000000003</v>
      </c>
      <c r="F136" s="33">
        <f>AVERAGE(Dados!F126:F137)</f>
        <v>155.10833333333332</v>
      </c>
      <c r="G136" s="33">
        <f>AVERAGE(Dados!G126:G137)</f>
        <v>139.14333333333332</v>
      </c>
      <c r="H136" s="33">
        <f>AVERAGE(Dados!H126:H137)</f>
        <v>146.12916666666669</v>
      </c>
      <c r="I136" s="33">
        <f>AVERAGE(Dados!I126:I137)</f>
        <v>133.85999999999999</v>
      </c>
      <c r="J136" s="33">
        <f>AVERAGE(Dados!J126:J137)</f>
        <v>151.7775</v>
      </c>
      <c r="K136" s="33">
        <f>AVERAGE(Dados!K126:K137)</f>
        <v>145.66416666666666</v>
      </c>
    </row>
    <row r="137" spans="1:11" x14ac:dyDescent="0.25">
      <c r="A137" s="32">
        <v>41609</v>
      </c>
      <c r="B137" s="33">
        <f>AVERAGE(Dados!B127:B138)</f>
        <v>146.70583333333332</v>
      </c>
      <c r="C137" s="33">
        <f>AVERAGE(Dados!C127:C138)</f>
        <v>143.00833333333333</v>
      </c>
      <c r="D137" s="33">
        <f>AVERAGE(Dados!D127:D138)</f>
        <v>155.98583333333332</v>
      </c>
      <c r="E137" s="33">
        <f>AVERAGE(Dados!E127:E138)</f>
        <v>141.97250000000003</v>
      </c>
      <c r="F137" s="33">
        <f>AVERAGE(Dados!F127:F138)</f>
        <v>155.13083333333333</v>
      </c>
      <c r="G137" s="33">
        <f>AVERAGE(Dados!G127:G138)</f>
        <v>139.57166666666669</v>
      </c>
      <c r="H137" s="33">
        <f>AVERAGE(Dados!H127:H138)</f>
        <v>146.58833333333334</v>
      </c>
      <c r="I137" s="33">
        <f>AVERAGE(Dados!I127:I138)</f>
        <v>133.845</v>
      </c>
      <c r="J137" s="33">
        <f>AVERAGE(Dados!J127:J138)</f>
        <v>152.20083333333335</v>
      </c>
      <c r="K137" s="33">
        <f>AVERAGE(Dados!K127:K138)</f>
        <v>145.86250000000004</v>
      </c>
    </row>
    <row r="138" spans="1:11" x14ac:dyDescent="0.25">
      <c r="A138" s="32">
        <v>41640</v>
      </c>
      <c r="B138" s="33">
        <f>AVERAGE(Dados!B128:B139)</f>
        <v>146.99499999999998</v>
      </c>
      <c r="C138" s="33">
        <f>AVERAGE(Dados!C128:C139)</f>
        <v>143.34833333333333</v>
      </c>
      <c r="D138" s="33">
        <f>AVERAGE(Dados!D128:D139)</f>
        <v>156.33416666666665</v>
      </c>
      <c r="E138" s="33">
        <f>AVERAGE(Dados!E128:E139)</f>
        <v>142.11250000000001</v>
      </c>
      <c r="F138" s="33">
        <f>AVERAGE(Dados!F128:F139)</f>
        <v>155.26583333333335</v>
      </c>
      <c r="G138" s="33">
        <f>AVERAGE(Dados!G128:G139)</f>
        <v>140.09</v>
      </c>
      <c r="H138" s="33">
        <f>AVERAGE(Dados!H128:H139)</f>
        <v>147.04749999999999</v>
      </c>
      <c r="I138" s="33">
        <f>AVERAGE(Dados!I128:I139)</f>
        <v>133.98583333333332</v>
      </c>
      <c r="J138" s="33">
        <f>AVERAGE(Dados!J128:J139)</f>
        <v>152.73666666666668</v>
      </c>
      <c r="K138" s="33">
        <f>AVERAGE(Dados!K128:K139)</f>
        <v>146.25583333333333</v>
      </c>
    </row>
    <row r="139" spans="1:11" x14ac:dyDescent="0.25">
      <c r="A139" s="32">
        <v>41671</v>
      </c>
      <c r="B139" s="33">
        <f>AVERAGE(Dados!B129:B140)</f>
        <v>147.31916666666666</v>
      </c>
      <c r="C139" s="33">
        <f>AVERAGE(Dados!C129:C140)</f>
        <v>143.62833333333336</v>
      </c>
      <c r="D139" s="33">
        <f>AVERAGE(Dados!D129:D140)</f>
        <v>156.6308333333333</v>
      </c>
      <c r="E139" s="33">
        <f>AVERAGE(Dados!E129:E140)</f>
        <v>142.42083333333332</v>
      </c>
      <c r="F139" s="33">
        <f>AVERAGE(Dados!F129:F140)</f>
        <v>155.32583333333335</v>
      </c>
      <c r="G139" s="33">
        <f>AVERAGE(Dados!G129:G140)</f>
        <v>140.27416666666667</v>
      </c>
      <c r="H139" s="33">
        <f>AVERAGE(Dados!H129:H140)</f>
        <v>147.53166666666667</v>
      </c>
      <c r="I139" s="33">
        <f>AVERAGE(Dados!I129:I140)</f>
        <v>134.1825</v>
      </c>
      <c r="J139" s="33">
        <f>AVERAGE(Dados!J129:J140)</f>
        <v>152.93583333333336</v>
      </c>
      <c r="K139" s="33">
        <f>AVERAGE(Dados!K129:K140)</f>
        <v>146.6866666666667</v>
      </c>
    </row>
    <row r="140" spans="1:11" x14ac:dyDescent="0.25">
      <c r="A140" s="32">
        <v>41699</v>
      </c>
      <c r="B140" s="33">
        <f>AVERAGE(Dados!B130:B141)</f>
        <v>147.57583333333332</v>
      </c>
      <c r="C140" s="33">
        <f>AVERAGE(Dados!C130:C141)</f>
        <v>143.91</v>
      </c>
      <c r="D140" s="33">
        <f>AVERAGE(Dados!D130:D141)</f>
        <v>156.91916666666665</v>
      </c>
      <c r="E140" s="33">
        <f>AVERAGE(Dados!E130:E141)</f>
        <v>142.73666666666665</v>
      </c>
      <c r="F140" s="33">
        <f>AVERAGE(Dados!F130:F141)</f>
        <v>155.31583333333333</v>
      </c>
      <c r="G140" s="33">
        <f>AVERAGE(Dados!G130:G141)</f>
        <v>139.78583333333333</v>
      </c>
      <c r="H140" s="33">
        <f>AVERAGE(Dados!H130:H141)</f>
        <v>147.99750000000003</v>
      </c>
      <c r="I140" s="33">
        <f>AVERAGE(Dados!I130:I141)</f>
        <v>134.53833333333333</v>
      </c>
      <c r="J140" s="33">
        <f>AVERAGE(Dados!J130:J141)</f>
        <v>152.93083333333334</v>
      </c>
      <c r="K140" s="33">
        <f>AVERAGE(Dados!K130:K141)</f>
        <v>147.07250000000002</v>
      </c>
    </row>
    <row r="141" spans="1:11" x14ac:dyDescent="0.25">
      <c r="A141" s="32">
        <v>41730</v>
      </c>
      <c r="B141" s="33">
        <f>AVERAGE(Dados!B131:B142)</f>
        <v>147.65416666666667</v>
      </c>
      <c r="C141" s="33">
        <f>AVERAGE(Dados!C131:C142)</f>
        <v>143.96916666666667</v>
      </c>
      <c r="D141" s="33">
        <f>AVERAGE(Dados!D131:D142)</f>
        <v>157.07749999999999</v>
      </c>
      <c r="E141" s="33">
        <f>AVERAGE(Dados!E131:E142)</f>
        <v>142.96333333333334</v>
      </c>
      <c r="F141" s="33">
        <f>AVERAGE(Dados!F131:F142)</f>
        <v>155.34583333333333</v>
      </c>
      <c r="G141" s="33">
        <f>AVERAGE(Dados!G131:G142)</f>
        <v>138.74</v>
      </c>
      <c r="H141" s="33">
        <f>AVERAGE(Dados!H131:H142)</f>
        <v>148.19000000000003</v>
      </c>
      <c r="I141" s="33">
        <f>AVERAGE(Dados!I131:I142)</f>
        <v>134.63083333333333</v>
      </c>
      <c r="J141" s="33">
        <f>AVERAGE(Dados!J131:J142)</f>
        <v>152.66749999999999</v>
      </c>
      <c r="K141" s="33">
        <f>AVERAGE(Dados!K131:K142)</f>
        <v>147.59083333333334</v>
      </c>
    </row>
    <row r="142" spans="1:11" x14ac:dyDescent="0.25">
      <c r="A142" s="32">
        <v>41760</v>
      </c>
      <c r="B142" s="33">
        <f>AVERAGE(Dados!B132:B143)</f>
        <v>147.59</v>
      </c>
      <c r="C142" s="33">
        <f>AVERAGE(Dados!C132:C143)</f>
        <v>143.86083333333332</v>
      </c>
      <c r="D142" s="33">
        <f>AVERAGE(Dados!D132:D143)</f>
        <v>157.32166666666669</v>
      </c>
      <c r="E142" s="33">
        <f>AVERAGE(Dados!E132:E143)</f>
        <v>143.30333333333331</v>
      </c>
      <c r="F142" s="33">
        <f>AVERAGE(Dados!F132:F143)</f>
        <v>155.45333333333335</v>
      </c>
      <c r="G142" s="33">
        <f>AVERAGE(Dados!G132:G143)</f>
        <v>138.79833333333332</v>
      </c>
      <c r="H142" s="33">
        <f>AVERAGE(Dados!H132:H143)</f>
        <v>148.61416666666668</v>
      </c>
      <c r="I142" s="33">
        <f>AVERAGE(Dados!I132:I143)</f>
        <v>134.70833333333334</v>
      </c>
      <c r="J142" s="33">
        <f>AVERAGE(Dados!J132:J143)</f>
        <v>152.66250000000002</v>
      </c>
      <c r="K142" s="33">
        <f>AVERAGE(Dados!K132:K143)</f>
        <v>148.02250000000001</v>
      </c>
    </row>
    <row r="143" spans="1:11" x14ac:dyDescent="0.25">
      <c r="A143" s="32">
        <v>41791</v>
      </c>
      <c r="B143" s="33">
        <f>AVERAGE(Dados!B133:B144)</f>
        <v>147.38499999999999</v>
      </c>
      <c r="C143" s="33">
        <f>AVERAGE(Dados!C133:C144)</f>
        <v>143.44166666666666</v>
      </c>
      <c r="D143" s="33">
        <f>AVERAGE(Dados!D133:D144)</f>
        <v>157.28416666666666</v>
      </c>
      <c r="E143" s="33">
        <f>AVERAGE(Dados!E133:E144)</f>
        <v>143.38833333333332</v>
      </c>
      <c r="F143" s="33">
        <f>AVERAGE(Dados!F133:F144)</f>
        <v>155.28416666666666</v>
      </c>
      <c r="G143" s="33">
        <f>AVERAGE(Dados!G133:G144)</f>
        <v>138.85916666666665</v>
      </c>
      <c r="H143" s="33">
        <f>AVERAGE(Dados!H133:H144)</f>
        <v>148.4291666666667</v>
      </c>
      <c r="I143" s="33">
        <f>AVERAGE(Dados!I133:I144)</f>
        <v>134.83500000000001</v>
      </c>
      <c r="J143" s="33">
        <f>AVERAGE(Dados!J133:J144)</f>
        <v>152.36916666666667</v>
      </c>
      <c r="K143" s="33">
        <f>AVERAGE(Dados!K133:K144)</f>
        <v>148.36499999999998</v>
      </c>
    </row>
    <row r="144" spans="1:11" x14ac:dyDescent="0.25">
      <c r="A144" s="32">
        <v>41821</v>
      </c>
      <c r="B144" s="33">
        <f>AVERAGE(Dados!B134:B145)</f>
        <v>147.19333333333336</v>
      </c>
      <c r="C144" s="33">
        <f>AVERAGE(Dados!C134:C145)</f>
        <v>142.9375</v>
      </c>
      <c r="D144" s="33">
        <f>AVERAGE(Dados!D134:D145)</f>
        <v>157.3016666666667</v>
      </c>
      <c r="E144" s="33">
        <f>AVERAGE(Dados!E134:E145)</f>
        <v>143.8125</v>
      </c>
      <c r="F144" s="33">
        <f>AVERAGE(Dados!F134:F145)</f>
        <v>155.18916666666664</v>
      </c>
      <c r="G144" s="33">
        <f>AVERAGE(Dados!G134:G145)</f>
        <v>138.98083333333332</v>
      </c>
      <c r="H144" s="33">
        <f>AVERAGE(Dados!H134:H145)</f>
        <v>148.51666666666668</v>
      </c>
      <c r="I144" s="33">
        <f>AVERAGE(Dados!I134:I145)</f>
        <v>135.03416666666666</v>
      </c>
      <c r="J144" s="33">
        <f>AVERAGE(Dados!J134:J145)</f>
        <v>152.1575</v>
      </c>
      <c r="K144" s="33">
        <f>AVERAGE(Dados!K134:K145)</f>
        <v>148.69083333333333</v>
      </c>
    </row>
    <row r="145" spans="1:11" x14ac:dyDescent="0.25">
      <c r="A145" s="32">
        <v>41852</v>
      </c>
      <c r="B145" s="33">
        <f>AVERAGE(Dados!B135:B146)</f>
        <v>147.07833333333335</v>
      </c>
      <c r="C145" s="33">
        <f>AVERAGE(Dados!C135:C146)</f>
        <v>142.91666666666669</v>
      </c>
      <c r="D145" s="33">
        <f>AVERAGE(Dados!D135:D146)</f>
        <v>157.41666666666666</v>
      </c>
      <c r="E145" s="33">
        <f>AVERAGE(Dados!E135:E146)</f>
        <v>144.41083333333333</v>
      </c>
      <c r="F145" s="33">
        <f>AVERAGE(Dados!F135:F146)</f>
        <v>155.06083333333331</v>
      </c>
      <c r="G145" s="33">
        <f>AVERAGE(Dados!G135:G146)</f>
        <v>139.32333333333335</v>
      </c>
      <c r="H145" s="33">
        <f>AVERAGE(Dados!H135:H146)</f>
        <v>148.67083333333335</v>
      </c>
      <c r="I145" s="33">
        <f>AVERAGE(Dados!I135:I146)</f>
        <v>135.25</v>
      </c>
      <c r="J145" s="33">
        <f>AVERAGE(Dados!J135:J146)</f>
        <v>152.19166666666669</v>
      </c>
      <c r="K145" s="33">
        <f>AVERAGE(Dados!K135:K146)</f>
        <v>148.81666666666669</v>
      </c>
    </row>
    <row r="146" spans="1:11" x14ac:dyDescent="0.25">
      <c r="A146" s="32">
        <v>41883</v>
      </c>
      <c r="B146" s="33">
        <f>AVERAGE(Dados!B136:B147)</f>
        <v>146.88583333333335</v>
      </c>
      <c r="C146" s="33">
        <f>AVERAGE(Dados!C136:C147)</f>
        <v>142.94416666666666</v>
      </c>
      <c r="D146" s="33">
        <f>AVERAGE(Dados!D136:D147)</f>
        <v>157.76583333333335</v>
      </c>
      <c r="E146" s="33">
        <f>AVERAGE(Dados!E136:E147)</f>
        <v>144.89833333333334</v>
      </c>
      <c r="F146" s="33">
        <f>AVERAGE(Dados!F136:F147)</f>
        <v>154.88416666666666</v>
      </c>
      <c r="G146" s="33">
        <f>AVERAGE(Dados!G136:G147)</f>
        <v>139.72083333333333</v>
      </c>
      <c r="H146" s="33">
        <f>AVERAGE(Dados!H136:H147)</f>
        <v>148.96250000000001</v>
      </c>
      <c r="I146" s="33">
        <f>AVERAGE(Dados!I136:I147)</f>
        <v>135.36166666666665</v>
      </c>
      <c r="J146" s="33">
        <f>AVERAGE(Dados!J136:J147)</f>
        <v>152.3133333333333</v>
      </c>
      <c r="K146" s="33">
        <f>AVERAGE(Dados!K136:K147)</f>
        <v>149.02833333333334</v>
      </c>
    </row>
    <row r="147" spans="1:11" x14ac:dyDescent="0.25">
      <c r="A147" s="32">
        <v>41913</v>
      </c>
      <c r="B147" s="33">
        <f>AVERAGE(Dados!B137:B148)</f>
        <v>146.64500000000001</v>
      </c>
      <c r="C147" s="33">
        <f>AVERAGE(Dados!C137:C148)</f>
        <v>142.92416666666665</v>
      </c>
      <c r="D147" s="33">
        <f>AVERAGE(Dados!D137:D148)</f>
        <v>157.92833333333334</v>
      </c>
      <c r="E147" s="33">
        <f>AVERAGE(Dados!E137:E148)</f>
        <v>145.04666666666668</v>
      </c>
      <c r="F147" s="33">
        <f>AVERAGE(Dados!F137:F148)</f>
        <v>154.85583333333332</v>
      </c>
      <c r="G147" s="33">
        <f>AVERAGE(Dados!G137:G148)</f>
        <v>139.98249999999999</v>
      </c>
      <c r="H147" s="33">
        <f>AVERAGE(Dados!H137:H148)</f>
        <v>149.20249999999999</v>
      </c>
      <c r="I147" s="33">
        <f>AVERAGE(Dados!I137:I148)</f>
        <v>135.51916666666668</v>
      </c>
      <c r="J147" s="33">
        <f>AVERAGE(Dados!J137:J148)</f>
        <v>152.5383333333333</v>
      </c>
      <c r="K147" s="33">
        <f>AVERAGE(Dados!K137:K148)</f>
        <v>149.40583333333333</v>
      </c>
    </row>
    <row r="148" spans="1:11" x14ac:dyDescent="0.25">
      <c r="A148" s="32">
        <v>41944</v>
      </c>
      <c r="B148" s="33">
        <f>AVERAGE(Dados!B138:B149)</f>
        <v>146.40916666666666</v>
      </c>
      <c r="C148" s="33">
        <f>AVERAGE(Dados!C138:C149)</f>
        <v>142.80083333333332</v>
      </c>
      <c r="D148" s="33">
        <f>AVERAGE(Dados!D138:D149)</f>
        <v>158.16083333333333</v>
      </c>
      <c r="E148" s="33">
        <f>AVERAGE(Dados!E138:E149)</f>
        <v>145.18833333333333</v>
      </c>
      <c r="F148" s="33">
        <f>AVERAGE(Dados!F138:F149)</f>
        <v>154.64750000000001</v>
      </c>
      <c r="G148" s="33">
        <f>AVERAGE(Dados!G138:G149)</f>
        <v>140.09583333333333</v>
      </c>
      <c r="H148" s="33">
        <f>AVERAGE(Dados!H138:H149)</f>
        <v>149.37166666666664</v>
      </c>
      <c r="I148" s="33">
        <f>AVERAGE(Dados!I138:I149)</f>
        <v>135.66499999999996</v>
      </c>
      <c r="J148" s="33">
        <f>AVERAGE(Dados!J138:J149)</f>
        <v>152.65916666666666</v>
      </c>
      <c r="K148" s="33">
        <f>AVERAGE(Dados!K138:K149)</f>
        <v>149.69416666666666</v>
      </c>
    </row>
    <row r="149" spans="1:11" x14ac:dyDescent="0.25">
      <c r="A149" s="32">
        <v>41974</v>
      </c>
      <c r="B149" s="33">
        <f>AVERAGE(Dados!B139:B150)</f>
        <v>146.21916666666667</v>
      </c>
      <c r="C149" s="33">
        <f>AVERAGE(Dados!C139:C150)</f>
        <v>142.76</v>
      </c>
      <c r="D149" s="33">
        <f>AVERAGE(Dados!D139:D150)</f>
        <v>158.08749999999998</v>
      </c>
      <c r="E149" s="33">
        <f>AVERAGE(Dados!E139:E150)</f>
        <v>145.45500000000001</v>
      </c>
      <c r="F149" s="33">
        <f>AVERAGE(Dados!F139:F150)</f>
        <v>154.49</v>
      </c>
      <c r="G149" s="33">
        <f>AVERAGE(Dados!G139:G150)</f>
        <v>140.14583333333334</v>
      </c>
      <c r="H149" s="33">
        <f>AVERAGE(Dados!H139:H150)</f>
        <v>149.43583333333333</v>
      </c>
      <c r="I149" s="33">
        <f>AVERAGE(Dados!I139:I150)</f>
        <v>135.87166666666664</v>
      </c>
      <c r="J149" s="33">
        <f>AVERAGE(Dados!J139:J150)</f>
        <v>152.89916666666667</v>
      </c>
      <c r="K149" s="33">
        <f>AVERAGE(Dados!K139:K150)</f>
        <v>149.98249999999999</v>
      </c>
    </row>
    <row r="150" spans="1:11" x14ac:dyDescent="0.25">
      <c r="A150" s="32">
        <v>42005</v>
      </c>
      <c r="B150" s="33">
        <f>AVERAGE(Dados!B140:B151)</f>
        <v>145.95250000000001</v>
      </c>
      <c r="C150" s="33">
        <f>AVERAGE(Dados!C140:C151)</f>
        <v>142.46333333333334</v>
      </c>
      <c r="D150" s="33">
        <f>AVERAGE(Dados!D140:D151)</f>
        <v>158.15416666666667</v>
      </c>
      <c r="E150" s="33">
        <f>AVERAGE(Dados!E140:E151)</f>
        <v>145.60416666666666</v>
      </c>
      <c r="F150" s="33">
        <f>AVERAGE(Dados!F140:F151)</f>
        <v>154.36750000000001</v>
      </c>
      <c r="G150" s="33">
        <f>AVERAGE(Dados!G140:G151)</f>
        <v>139.76583333333335</v>
      </c>
      <c r="H150" s="33">
        <f>AVERAGE(Dados!H140:H151)</f>
        <v>149.49250000000001</v>
      </c>
      <c r="I150" s="33">
        <f>AVERAGE(Dados!I140:I151)</f>
        <v>136.07749999999999</v>
      </c>
      <c r="J150" s="33">
        <f>AVERAGE(Dados!J140:J151)</f>
        <v>152.71</v>
      </c>
      <c r="K150" s="33">
        <f>AVERAGE(Dados!K140:K151)</f>
        <v>149.94999999999996</v>
      </c>
    </row>
    <row r="151" spans="1:11" x14ac:dyDescent="0.25">
      <c r="A151" s="32">
        <v>42036</v>
      </c>
      <c r="B151" s="33">
        <f>AVERAGE(Dados!B141:B152)</f>
        <v>145.67916666666667</v>
      </c>
      <c r="C151" s="33">
        <f>AVERAGE(Dados!C141:C152)</f>
        <v>142.22333333333333</v>
      </c>
      <c r="D151" s="33">
        <f>AVERAGE(Dados!D141:D152)</f>
        <v>158.29583333333335</v>
      </c>
      <c r="E151" s="33">
        <f>AVERAGE(Dados!E141:E152)</f>
        <v>145.60333333333332</v>
      </c>
      <c r="F151" s="33">
        <f>AVERAGE(Dados!F141:F152)</f>
        <v>154.36666666666667</v>
      </c>
      <c r="G151" s="33">
        <f>AVERAGE(Dados!G141:G152)</f>
        <v>139.51583333333335</v>
      </c>
      <c r="H151" s="33">
        <f>AVERAGE(Dados!H141:H152)</f>
        <v>149.43</v>
      </c>
      <c r="I151" s="33">
        <f>AVERAGE(Dados!I141:I152)</f>
        <v>136.16916666666668</v>
      </c>
      <c r="J151" s="33">
        <f>AVERAGE(Dados!J141:J152)</f>
        <v>152.74333333333331</v>
      </c>
      <c r="K151" s="33">
        <f>AVERAGE(Dados!K141:K152)</f>
        <v>149.73166666666665</v>
      </c>
    </row>
    <row r="152" spans="1:11" x14ac:dyDescent="0.25">
      <c r="A152" s="32">
        <v>42064</v>
      </c>
      <c r="B152" s="33">
        <f>AVERAGE(Dados!B142:B153)</f>
        <v>145.36166666666668</v>
      </c>
      <c r="C152" s="33">
        <f>AVERAGE(Dados!C142:C153)</f>
        <v>141.82083333333335</v>
      </c>
      <c r="D152" s="33">
        <f>AVERAGE(Dados!D142:D153)</f>
        <v>158.26166666666668</v>
      </c>
      <c r="E152" s="33">
        <f>AVERAGE(Dados!E142:E153)</f>
        <v>145.55833333333337</v>
      </c>
      <c r="F152" s="33">
        <f>AVERAGE(Dados!F142:F153)</f>
        <v>154.16499999999999</v>
      </c>
      <c r="G152" s="33">
        <f>AVERAGE(Dados!G142:G153)</f>
        <v>140.1</v>
      </c>
      <c r="H152" s="33">
        <f>AVERAGE(Dados!H142:H153)</f>
        <v>149.32250000000002</v>
      </c>
      <c r="I152" s="33">
        <f>AVERAGE(Dados!I142:I153)</f>
        <v>136.11916666666667</v>
      </c>
      <c r="J152" s="33">
        <f>AVERAGE(Dados!J142:J153)</f>
        <v>153.18916666666667</v>
      </c>
      <c r="K152" s="33">
        <f>AVERAGE(Dados!K142:K153)</f>
        <v>149.76499999999999</v>
      </c>
    </row>
    <row r="153" spans="1:11" x14ac:dyDescent="0.25">
      <c r="A153" s="32">
        <v>42095</v>
      </c>
      <c r="B153" s="33">
        <f>AVERAGE(Dados!B143:B154)</f>
        <v>145</v>
      </c>
      <c r="C153" s="33">
        <f>AVERAGE(Dados!C143:C154)</f>
        <v>141.38583333333335</v>
      </c>
      <c r="D153" s="33">
        <f>AVERAGE(Dados!D143:D154)</f>
        <v>157.93583333333333</v>
      </c>
      <c r="E153" s="33">
        <f>AVERAGE(Dados!E143:E154)</f>
        <v>145.31666666666669</v>
      </c>
      <c r="F153" s="33">
        <f>AVERAGE(Dados!F143:F154)</f>
        <v>153.82916666666665</v>
      </c>
      <c r="G153" s="33">
        <f>AVERAGE(Dados!G143:G154)</f>
        <v>141.51666666666665</v>
      </c>
      <c r="H153" s="33">
        <f>AVERAGE(Dados!H143:H154)</f>
        <v>149.24916666666667</v>
      </c>
      <c r="I153" s="33">
        <f>AVERAGE(Dados!I143:I154)</f>
        <v>136.18916666666669</v>
      </c>
      <c r="J153" s="33">
        <f>AVERAGE(Dados!J143:J154)</f>
        <v>153.41250000000002</v>
      </c>
      <c r="K153" s="33">
        <f>AVERAGE(Dados!K143:K154)</f>
        <v>149.61249999999998</v>
      </c>
    </row>
    <row r="154" spans="1:11" x14ac:dyDescent="0.25">
      <c r="A154" s="32">
        <v>42125</v>
      </c>
      <c r="B154" s="33">
        <f>AVERAGE(Dados!B144:B155)</f>
        <v>144.56083333333336</v>
      </c>
      <c r="C154" s="33">
        <f>AVERAGE(Dados!C144:C155)</f>
        <v>141.08416666666668</v>
      </c>
      <c r="D154" s="33">
        <f>AVERAGE(Dados!D144:D155)</f>
        <v>157.44166666666669</v>
      </c>
      <c r="E154" s="33">
        <f>AVERAGE(Dados!E144:E155)</f>
        <v>144.87083333333334</v>
      </c>
      <c r="F154" s="33">
        <f>AVERAGE(Dados!F144:F155)</f>
        <v>153.44916666666666</v>
      </c>
      <c r="G154" s="33">
        <f>AVERAGE(Dados!G144:G155)</f>
        <v>141.05833333333334</v>
      </c>
      <c r="H154" s="33">
        <f>AVERAGE(Dados!H144:H155)</f>
        <v>148.94750000000002</v>
      </c>
      <c r="I154" s="33">
        <f>AVERAGE(Dados!I144:I155)</f>
        <v>136.22</v>
      </c>
      <c r="J154" s="33">
        <f>AVERAGE(Dados!J144:J155)</f>
        <v>153.33750000000001</v>
      </c>
      <c r="K154" s="33">
        <f>AVERAGE(Dados!K144:K155)</f>
        <v>149.41499999999999</v>
      </c>
    </row>
    <row r="155" spans="1:11" x14ac:dyDescent="0.25">
      <c r="A155" s="32">
        <v>42156</v>
      </c>
      <c r="B155" s="33">
        <f>AVERAGE(Dados!B145:B156)</f>
        <v>144.23666666666668</v>
      </c>
      <c r="C155" s="33">
        <f>AVERAGE(Dados!C145:C156)</f>
        <v>140.80000000000001</v>
      </c>
      <c r="D155" s="33">
        <f>AVERAGE(Dados!D145:D156)</f>
        <v>157.24666666666667</v>
      </c>
      <c r="E155" s="33">
        <f>AVERAGE(Dados!E145:E156)</f>
        <v>144.63499999999999</v>
      </c>
      <c r="F155" s="33">
        <f>AVERAGE(Dados!F145:F156)</f>
        <v>153.12833333333333</v>
      </c>
      <c r="G155" s="33">
        <f>AVERAGE(Dados!G145:G156)</f>
        <v>140.25666666666666</v>
      </c>
      <c r="H155" s="33">
        <f>AVERAGE(Dados!H145:H156)</f>
        <v>148.89333333333335</v>
      </c>
      <c r="I155" s="33">
        <f>AVERAGE(Dados!I145:I156)</f>
        <v>136.16166666666666</v>
      </c>
      <c r="J155" s="33">
        <f>AVERAGE(Dados!J145:J156)</f>
        <v>153.47333333333333</v>
      </c>
      <c r="K155" s="33">
        <f>AVERAGE(Dados!K145:K156)</f>
        <v>149.3125</v>
      </c>
    </row>
    <row r="156" spans="1:11" x14ac:dyDescent="0.25">
      <c r="A156" s="32">
        <v>42186</v>
      </c>
      <c r="B156" s="33">
        <f>AVERAGE(Dados!B146:B157)</f>
        <v>143.76083333333335</v>
      </c>
      <c r="C156" s="33">
        <f>AVERAGE(Dados!C146:C157)</f>
        <v>140.59083333333334</v>
      </c>
      <c r="D156" s="33">
        <f>AVERAGE(Dados!D146:D157)</f>
        <v>156.88333333333333</v>
      </c>
      <c r="E156" s="33">
        <f>AVERAGE(Dados!E146:E157)</f>
        <v>144.00666666666669</v>
      </c>
      <c r="F156" s="33">
        <f>AVERAGE(Dados!F146:F157)</f>
        <v>152.78749999999999</v>
      </c>
      <c r="G156" s="33">
        <f>AVERAGE(Dados!G146:G157)</f>
        <v>139.61666666666667</v>
      </c>
      <c r="H156" s="33">
        <f>AVERAGE(Dados!H146:H157)</f>
        <v>148.41666666666666</v>
      </c>
      <c r="I156" s="33">
        <f>AVERAGE(Dados!I146:I157)</f>
        <v>136.00583333333336</v>
      </c>
      <c r="J156" s="33">
        <f>AVERAGE(Dados!J146:J157)</f>
        <v>153.16166666666666</v>
      </c>
      <c r="K156" s="33">
        <f>AVERAGE(Dados!K146:K157)</f>
        <v>149.07250000000002</v>
      </c>
    </row>
    <row r="157" spans="1:11" x14ac:dyDescent="0.25">
      <c r="A157" s="32">
        <v>42217</v>
      </c>
      <c r="B157" s="33">
        <f>AVERAGE(Dados!B147:B158)</f>
        <v>143.19083333333336</v>
      </c>
      <c r="C157" s="33">
        <f>AVERAGE(Dados!C147:C158)</f>
        <v>140.07999999999998</v>
      </c>
      <c r="D157" s="33">
        <f>AVERAGE(Dados!D147:D158)</f>
        <v>156.32</v>
      </c>
      <c r="E157" s="33">
        <f>AVERAGE(Dados!E147:E158)</f>
        <v>143.16666666666666</v>
      </c>
      <c r="F157" s="33">
        <f>AVERAGE(Dados!F147:F158)</f>
        <v>152.37583333333333</v>
      </c>
      <c r="G157" s="33">
        <f>AVERAGE(Dados!G147:G158)</f>
        <v>138.66749999999999</v>
      </c>
      <c r="H157" s="33">
        <f>AVERAGE(Dados!H147:H158)</f>
        <v>148.00333333333333</v>
      </c>
      <c r="I157" s="33">
        <f>AVERAGE(Dados!I147:I158)</f>
        <v>135.85916666666665</v>
      </c>
      <c r="J157" s="33">
        <f>AVERAGE(Dados!J147:J158)</f>
        <v>152.78</v>
      </c>
      <c r="K157" s="33">
        <f>AVERAGE(Dados!K147:K158)</f>
        <v>148.73666666666668</v>
      </c>
    </row>
    <row r="158" spans="1:11" x14ac:dyDescent="0.25">
      <c r="A158" s="32">
        <v>42248</v>
      </c>
      <c r="B158" s="33">
        <f>AVERAGE(Dados!B148:B159)</f>
        <v>142.50250000000003</v>
      </c>
      <c r="C158" s="33">
        <f>AVERAGE(Dados!C148:C159)</f>
        <v>139.44999999999999</v>
      </c>
      <c r="D158" s="33">
        <f>AVERAGE(Dados!D148:D159)</f>
        <v>155.56583333333333</v>
      </c>
      <c r="E158" s="33">
        <f>AVERAGE(Dados!E148:E159)</f>
        <v>142.24583333333331</v>
      </c>
      <c r="F158" s="33">
        <f>AVERAGE(Dados!F148:F159)</f>
        <v>151.94666666666669</v>
      </c>
      <c r="G158" s="33">
        <f>AVERAGE(Dados!G148:G159)</f>
        <v>137.37916666666666</v>
      </c>
      <c r="H158" s="33">
        <f>AVERAGE(Dados!H148:H159)</f>
        <v>147.2908333333333</v>
      </c>
      <c r="I158" s="33">
        <f>AVERAGE(Dados!I148:I159)</f>
        <v>135.54166666666666</v>
      </c>
      <c r="J158" s="33">
        <f>AVERAGE(Dados!J148:J159)</f>
        <v>152.33333333333334</v>
      </c>
      <c r="K158" s="33">
        <f>AVERAGE(Dados!K148:K159)</f>
        <v>148.36333333333334</v>
      </c>
    </row>
    <row r="159" spans="1:11" x14ac:dyDescent="0.25">
      <c r="A159" s="32">
        <v>42278</v>
      </c>
      <c r="B159" s="33">
        <f>AVERAGE(Dados!B149:B160)</f>
        <v>141.9025</v>
      </c>
      <c r="C159" s="33">
        <f>AVERAGE(Dados!C149:C160)</f>
        <v>138.80666666666664</v>
      </c>
      <c r="D159" s="33">
        <f>AVERAGE(Dados!D149:D160)</f>
        <v>154.84</v>
      </c>
      <c r="E159" s="33">
        <f>AVERAGE(Dados!E149:E160)</f>
        <v>141.48166666666665</v>
      </c>
      <c r="F159" s="33">
        <f>AVERAGE(Dados!F149:F160)</f>
        <v>151.47166666666666</v>
      </c>
      <c r="G159" s="33">
        <f>AVERAGE(Dados!G149:G160)</f>
        <v>136.1908333333333</v>
      </c>
      <c r="H159" s="33">
        <f>AVERAGE(Dados!H149:H160)</f>
        <v>146.47166666666666</v>
      </c>
      <c r="I159" s="33">
        <f>AVERAGE(Dados!I149:I160)</f>
        <v>135.1883333333333</v>
      </c>
      <c r="J159" s="33">
        <f>AVERAGE(Dados!J149:J160)</f>
        <v>151.57000000000002</v>
      </c>
      <c r="K159" s="33">
        <f>AVERAGE(Dados!K149:K160)</f>
        <v>147.98083333333332</v>
      </c>
    </row>
    <row r="160" spans="1:11" x14ac:dyDescent="0.25">
      <c r="A160" s="32">
        <v>42309</v>
      </c>
      <c r="B160" s="33">
        <f>AVERAGE(Dados!B150:B161)</f>
        <v>141.14500000000001</v>
      </c>
      <c r="C160" s="33">
        <f>AVERAGE(Dados!C150:C161)</f>
        <v>138.09833333333333</v>
      </c>
      <c r="D160" s="33">
        <f>AVERAGE(Dados!D150:D161)</f>
        <v>154.17166666666665</v>
      </c>
      <c r="E160" s="33">
        <f>AVERAGE(Dados!E150:E161)</f>
        <v>140.65833333333333</v>
      </c>
      <c r="F160" s="33">
        <f>AVERAGE(Dados!F150:F161)</f>
        <v>150.96583333333334</v>
      </c>
      <c r="G160" s="33">
        <f>AVERAGE(Dados!G150:G161)</f>
        <v>135.15833333333333</v>
      </c>
      <c r="H160" s="33">
        <f>AVERAGE(Dados!H150:H161)</f>
        <v>145.92916666666665</v>
      </c>
      <c r="I160" s="33">
        <f>AVERAGE(Dados!I150:I161)</f>
        <v>134.81749999999997</v>
      </c>
      <c r="J160" s="33">
        <f>AVERAGE(Dados!J150:J161)</f>
        <v>150.80833333333337</v>
      </c>
      <c r="K160" s="33">
        <f>AVERAGE(Dados!K150:K161)</f>
        <v>147.42333333333332</v>
      </c>
    </row>
    <row r="161" spans="1:11" x14ac:dyDescent="0.25">
      <c r="A161" s="32">
        <v>42339</v>
      </c>
      <c r="B161" s="33">
        <f>AVERAGE(Dados!B151:B162)</f>
        <v>140.29416666666668</v>
      </c>
      <c r="C161" s="33">
        <f>AVERAGE(Dados!C151:C162)</f>
        <v>137.51916666666665</v>
      </c>
      <c r="D161" s="33">
        <f>AVERAGE(Dados!D151:D162)</f>
        <v>153.18749999999997</v>
      </c>
      <c r="E161" s="33">
        <f>AVERAGE(Dados!E151:E162)</f>
        <v>139.77583333333331</v>
      </c>
      <c r="F161" s="33">
        <f>AVERAGE(Dados!F151:F162)</f>
        <v>150.53583333333336</v>
      </c>
      <c r="G161" s="33">
        <f>AVERAGE(Dados!G151:G162)</f>
        <v>134.44416666666666</v>
      </c>
      <c r="H161" s="33">
        <f>AVERAGE(Dados!H151:H162)</f>
        <v>145.43333333333334</v>
      </c>
      <c r="I161" s="33">
        <f>AVERAGE(Dados!I151:I162)</f>
        <v>134.39249999999998</v>
      </c>
      <c r="J161" s="33">
        <f>AVERAGE(Dados!J151:J162)</f>
        <v>149.96833333333333</v>
      </c>
      <c r="K161" s="33">
        <f>AVERAGE(Dados!K151:K162)</f>
        <v>146.90666666666667</v>
      </c>
    </row>
    <row r="162" spans="1:11" x14ac:dyDescent="0.25">
      <c r="A162" s="32">
        <v>42370</v>
      </c>
      <c r="B162" s="33">
        <f>AVERAGE(Dados!B152:B163)</f>
        <v>139.46833333333333</v>
      </c>
      <c r="C162" s="33">
        <f>AVERAGE(Dados!C152:C163)</f>
        <v>136.64916666666664</v>
      </c>
      <c r="D162" s="33">
        <f>AVERAGE(Dados!D152:D163)</f>
        <v>151.60166666666666</v>
      </c>
      <c r="E162" s="33">
        <f>AVERAGE(Dados!E152:E163)</f>
        <v>138.93999999999997</v>
      </c>
      <c r="F162" s="33">
        <f>AVERAGE(Dados!F152:F163)</f>
        <v>150.00166666666667</v>
      </c>
      <c r="G162" s="33">
        <f>AVERAGE(Dados!G152:G163)</f>
        <v>133.97749999999996</v>
      </c>
      <c r="H162" s="33">
        <f>AVERAGE(Dados!H152:H163)</f>
        <v>144.85166666666666</v>
      </c>
      <c r="I162" s="33">
        <f>AVERAGE(Dados!I152:I163)</f>
        <v>133.72416666666666</v>
      </c>
      <c r="J162" s="33">
        <f>AVERAGE(Dados!J152:J163)</f>
        <v>149.47333333333333</v>
      </c>
      <c r="K162" s="33">
        <f>AVERAGE(Dados!K152:K163)</f>
        <v>146.41166666666666</v>
      </c>
    </row>
    <row r="163" spans="1:11" x14ac:dyDescent="0.25">
      <c r="A163" s="32">
        <v>42401</v>
      </c>
      <c r="B163" s="33">
        <f>AVERAGE(Dados!B153:B164)</f>
        <v>138.65583333333333</v>
      </c>
      <c r="C163" s="33">
        <f>AVERAGE(Dados!C153:C164)</f>
        <v>135.73833333333332</v>
      </c>
      <c r="D163" s="33">
        <f>AVERAGE(Dados!D153:D164)</f>
        <v>150.08749999999998</v>
      </c>
      <c r="E163" s="33">
        <f>AVERAGE(Dados!E153:E164)</f>
        <v>138.11999999999998</v>
      </c>
      <c r="F163" s="33">
        <f>AVERAGE(Dados!F153:F164)</f>
        <v>149.07999999999998</v>
      </c>
      <c r="G163" s="33">
        <f>AVERAGE(Dados!G153:G164)</f>
        <v>133.18916666666664</v>
      </c>
      <c r="H163" s="33">
        <f>AVERAGE(Dados!H153:H164)</f>
        <v>144.09083333333334</v>
      </c>
      <c r="I163" s="33">
        <f>AVERAGE(Dados!I153:I164)</f>
        <v>132.95083333333335</v>
      </c>
      <c r="J163" s="33">
        <f>AVERAGE(Dados!J153:J164)</f>
        <v>148.83166666666665</v>
      </c>
      <c r="K163" s="33">
        <f>AVERAGE(Dados!K153:K164)</f>
        <v>145.995</v>
      </c>
    </row>
    <row r="164" spans="1:11" x14ac:dyDescent="0.25">
      <c r="A164" s="32">
        <v>42430</v>
      </c>
      <c r="B164" s="33">
        <f>AVERAGE(Dados!B154:B165)</f>
        <v>137.83166666666665</v>
      </c>
      <c r="C164" s="33">
        <f>AVERAGE(Dados!C154:C165)</f>
        <v>135.22666666666666</v>
      </c>
      <c r="D164" s="33">
        <f>AVERAGE(Dados!D154:D165)</f>
        <v>148.73666666666665</v>
      </c>
      <c r="E164" s="33">
        <f>AVERAGE(Dados!E154:E165)</f>
        <v>137.45750000000001</v>
      </c>
      <c r="F164" s="33">
        <f>AVERAGE(Dados!F154:F165)</f>
        <v>148.64916666666667</v>
      </c>
      <c r="G164" s="33">
        <f>AVERAGE(Dados!G154:G165)</f>
        <v>132.71333333333334</v>
      </c>
      <c r="H164" s="33">
        <f>AVERAGE(Dados!H154:H165)</f>
        <v>143.60666666666665</v>
      </c>
      <c r="I164" s="33">
        <f>AVERAGE(Dados!I154:I165)</f>
        <v>132.29250000000002</v>
      </c>
      <c r="J164" s="33">
        <f>AVERAGE(Dados!J154:J165)</f>
        <v>148.06583333333333</v>
      </c>
      <c r="K164" s="33">
        <f>AVERAGE(Dados!K154:K165)</f>
        <v>145.41916666666668</v>
      </c>
    </row>
    <row r="165" spans="1:11" x14ac:dyDescent="0.25">
      <c r="A165" s="32">
        <v>42461</v>
      </c>
      <c r="B165" s="33">
        <f>AVERAGE(Dados!B155:B166)</f>
        <v>137.16083333333333</v>
      </c>
      <c r="C165" s="33">
        <f>AVERAGE(Dados!C155:C166)</f>
        <v>134.84583333333333</v>
      </c>
      <c r="D165" s="33">
        <f>AVERAGE(Dados!D155:D166)</f>
        <v>147.87166666666664</v>
      </c>
      <c r="E165" s="33">
        <f>AVERAGE(Dados!E155:E166)</f>
        <v>136.83916666666667</v>
      </c>
      <c r="F165" s="33">
        <f>AVERAGE(Dados!F155:F166)</f>
        <v>148.41083333333333</v>
      </c>
      <c r="G165" s="33">
        <f>AVERAGE(Dados!G155:G166)</f>
        <v>131.60666666666665</v>
      </c>
      <c r="H165" s="33">
        <f>AVERAGE(Dados!H155:H166)</f>
        <v>143.10916666666665</v>
      </c>
      <c r="I165" s="33">
        <f>AVERAGE(Dados!I155:I166)</f>
        <v>131.71333333333334</v>
      </c>
      <c r="J165" s="33">
        <f>AVERAGE(Dados!J155:J166)</f>
        <v>147.63499999999999</v>
      </c>
      <c r="K165" s="33">
        <f>AVERAGE(Dados!K155:K166)</f>
        <v>144.8075</v>
      </c>
    </row>
    <row r="166" spans="1:11" x14ac:dyDescent="0.25">
      <c r="A166" s="32">
        <v>42491</v>
      </c>
      <c r="B166" s="33">
        <f>AVERAGE(Dados!B156:B167)</f>
        <v>136.55749999999998</v>
      </c>
      <c r="C166" s="33">
        <f>AVERAGE(Dados!C156:C167)</f>
        <v>134.45500000000001</v>
      </c>
      <c r="D166" s="33">
        <f>AVERAGE(Dados!D156:D167)</f>
        <v>147.07166666666663</v>
      </c>
      <c r="E166" s="33">
        <f>AVERAGE(Dados!E156:E167)</f>
        <v>136.25083333333336</v>
      </c>
      <c r="F166" s="33">
        <f>AVERAGE(Dados!F156:F167)</f>
        <v>148.08083333333335</v>
      </c>
      <c r="G166" s="33">
        <f>AVERAGE(Dados!G156:G167)</f>
        <v>131.48916666666665</v>
      </c>
      <c r="H166" s="33">
        <f>AVERAGE(Dados!H156:H167)</f>
        <v>142.67333333333332</v>
      </c>
      <c r="I166" s="33">
        <f>AVERAGE(Dados!I156:I167)</f>
        <v>131.34416666666667</v>
      </c>
      <c r="J166" s="33">
        <f>AVERAGE(Dados!J156:J167)</f>
        <v>147.30083333333334</v>
      </c>
      <c r="K166" s="33">
        <f>AVERAGE(Dados!K156:K167)</f>
        <v>144.28333333333333</v>
      </c>
    </row>
    <row r="167" spans="1:11" x14ac:dyDescent="0.25">
      <c r="A167" s="32">
        <v>42522</v>
      </c>
      <c r="B167" s="33">
        <f>AVERAGE(Dados!B157:B168)</f>
        <v>136.08749999999998</v>
      </c>
      <c r="C167" s="33">
        <f>AVERAGE(Dados!C157:C168)</f>
        <v>134.29749999999999</v>
      </c>
      <c r="D167" s="33">
        <f>AVERAGE(Dados!D157:D168)</f>
        <v>146.37083333333331</v>
      </c>
      <c r="E167" s="33">
        <f>AVERAGE(Dados!E157:E168)</f>
        <v>135.7775</v>
      </c>
      <c r="F167" s="33">
        <f>AVERAGE(Dados!F157:F168)</f>
        <v>147.91250000000002</v>
      </c>
      <c r="G167" s="33">
        <f>AVERAGE(Dados!G157:G168)</f>
        <v>131.71166666666667</v>
      </c>
      <c r="H167" s="33">
        <f>AVERAGE(Dados!H157:H168)</f>
        <v>142.50666666666666</v>
      </c>
      <c r="I167" s="33">
        <f>AVERAGE(Dados!I157:I168)</f>
        <v>131.09333333333333</v>
      </c>
      <c r="J167" s="33">
        <f>AVERAGE(Dados!J157:J168)</f>
        <v>147.14666666666668</v>
      </c>
      <c r="K167" s="33">
        <f>AVERAGE(Dados!K157:K168)</f>
        <v>143.52250000000001</v>
      </c>
    </row>
    <row r="168" spans="1:11" x14ac:dyDescent="0.25">
      <c r="A168" s="32">
        <v>42552</v>
      </c>
      <c r="B168" s="33">
        <f>AVERAGE(Dados!B158:B169)</f>
        <v>135.68333333333331</v>
      </c>
      <c r="C168" s="33">
        <f>AVERAGE(Dados!C158:C169)</f>
        <v>134.22333333333333</v>
      </c>
      <c r="D168" s="33">
        <f>AVERAGE(Dados!D158:D169)</f>
        <v>145.9</v>
      </c>
      <c r="E168" s="33">
        <f>AVERAGE(Dados!E158:E169)</f>
        <v>135.46</v>
      </c>
      <c r="F168" s="33">
        <f>AVERAGE(Dados!F158:F169)</f>
        <v>147.87666666666669</v>
      </c>
      <c r="G168" s="33">
        <f>AVERAGE(Dados!G158:G169)</f>
        <v>131.57250000000002</v>
      </c>
      <c r="H168" s="33">
        <f>AVERAGE(Dados!H158:H169)</f>
        <v>142.36999999999998</v>
      </c>
      <c r="I168" s="33">
        <f>AVERAGE(Dados!I158:I169)</f>
        <v>130.8425</v>
      </c>
      <c r="J168" s="33">
        <f>AVERAGE(Dados!J158:J169)</f>
        <v>147.32</v>
      </c>
      <c r="K168" s="33">
        <f>AVERAGE(Dados!K158:K169)</f>
        <v>142.39583333333334</v>
      </c>
    </row>
    <row r="169" spans="1:11" x14ac:dyDescent="0.25">
      <c r="A169" s="32">
        <v>42583</v>
      </c>
      <c r="B169" s="33">
        <f>AVERAGE(Dados!B159:B170)</f>
        <v>135.17833333333331</v>
      </c>
      <c r="C169" s="33">
        <f>AVERAGE(Dados!C159:C170)</f>
        <v>133.85</v>
      </c>
      <c r="D169" s="33">
        <f>AVERAGE(Dados!D159:D170)</f>
        <v>145.40166666666667</v>
      </c>
      <c r="E169" s="33">
        <f>AVERAGE(Dados!E159:E170)</f>
        <v>135.06416666666669</v>
      </c>
      <c r="F169" s="33">
        <f>AVERAGE(Dados!F159:F170)</f>
        <v>147.66333333333333</v>
      </c>
      <c r="G169" s="33">
        <f>AVERAGE(Dados!G159:G170)</f>
        <v>131.49750000000003</v>
      </c>
      <c r="H169" s="33">
        <f>AVERAGE(Dados!H159:H170)</f>
        <v>142.08916666666667</v>
      </c>
      <c r="I169" s="33">
        <f>AVERAGE(Dados!I159:I170)</f>
        <v>130.46749999999997</v>
      </c>
      <c r="J169" s="33">
        <f>AVERAGE(Dados!J159:J170)</f>
        <v>147.01416666666665</v>
      </c>
      <c r="K169" s="33">
        <f>AVERAGE(Dados!K159:K170)</f>
        <v>141.62166666666667</v>
      </c>
    </row>
    <row r="170" spans="1:11" x14ac:dyDescent="0.25">
      <c r="A170" s="32">
        <v>42614</v>
      </c>
      <c r="B170" s="33">
        <f>AVERAGE(Dados!B160:B171)</f>
        <v>134.78416666666666</v>
      </c>
      <c r="C170" s="33">
        <f>AVERAGE(Dados!C160:C171)</f>
        <v>133.60750000000002</v>
      </c>
      <c r="D170" s="33">
        <f>AVERAGE(Dados!D160:D171)</f>
        <v>145.04999999999998</v>
      </c>
      <c r="E170" s="33">
        <f>AVERAGE(Dados!E160:E171)</f>
        <v>134.71833333333336</v>
      </c>
      <c r="F170" s="33">
        <f>AVERAGE(Dados!F160:F171)</f>
        <v>147.57166666666669</v>
      </c>
      <c r="G170" s="33">
        <f>AVERAGE(Dados!G160:G171)</f>
        <v>131.66583333333332</v>
      </c>
      <c r="H170" s="33">
        <f>AVERAGE(Dados!H160:H171)</f>
        <v>141.90166666666667</v>
      </c>
      <c r="I170" s="33">
        <f>AVERAGE(Dados!I160:I171)</f>
        <v>130.24666666666667</v>
      </c>
      <c r="J170" s="33">
        <f>AVERAGE(Dados!J160:J171)</f>
        <v>146.67166666666665</v>
      </c>
      <c r="K170" s="33">
        <f>AVERAGE(Dados!K160:K171)</f>
        <v>141.04166666666666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Resumo</vt:lpstr>
      <vt:lpstr>Dados</vt:lpstr>
      <vt:lpstr>MM3</vt:lpstr>
      <vt:lpstr>MM6</vt:lpstr>
      <vt:lpstr>MM12</vt:lpstr>
      <vt:lpstr>Plan1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Vidal</dc:creator>
  <cp:lastModifiedBy>user</cp:lastModifiedBy>
  <cp:lastPrinted>2014-03-14T17:18:53Z</cp:lastPrinted>
  <dcterms:created xsi:type="dcterms:W3CDTF">2011-12-16T13:20:06Z</dcterms:created>
  <dcterms:modified xsi:type="dcterms:W3CDTF">2016-12-19T17:38:55Z</dcterms:modified>
</cp:coreProperties>
</file>